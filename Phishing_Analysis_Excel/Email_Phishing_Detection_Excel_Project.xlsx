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OriGin\Desktop\"/>
    </mc:Choice>
  </mc:AlternateContent>
  <bookViews>
    <workbookView minimized="1" xWindow="0" yWindow="0" windowWidth="9555" windowHeight="2700"/>
  </bookViews>
  <sheets>
    <sheet name="Email_Analyis_Dashboard" sheetId="2" r:id="rId1"/>
    <sheet name="Email_Data" sheetId="1" r:id="rId2"/>
  </sheets>
  <definedNames>
    <definedName name="_xlnm.Print_Area" localSheetId="0">Email_Analyis_Dashboard!$B$2:$J$19</definedName>
  </definedNames>
  <calcPr calcId="162913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2" l="1"/>
  <c r="G3" i="2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<sst xmlns="http://schemas.openxmlformats.org/spreadsheetml/2006/main" count="97" uniqueCount="60">
  <si>
    <t>EmailID</t>
  </si>
  <si>
    <t>Sender</t>
  </si>
  <si>
    <t>Subject</t>
  </si>
  <si>
    <t>Domain</t>
  </si>
  <si>
    <t>HasLink</t>
  </si>
  <si>
    <t>HasAttachment</t>
  </si>
  <si>
    <t>KeywordFlag</t>
  </si>
  <si>
    <t>E001</t>
  </si>
  <si>
    <t>paypal-alert@secure-paypal.com</t>
  </si>
  <si>
    <t>Your account needs verification</t>
  </si>
  <si>
    <t>secure-paypal.com</t>
  </si>
  <si>
    <t>Yes</t>
  </si>
  <si>
    <t>No</t>
  </si>
  <si>
    <t>urgent</t>
  </si>
  <si>
    <t>E002</t>
  </si>
  <si>
    <t>it-support@company.com</t>
  </si>
  <si>
    <t>Password reset request</t>
  </si>
  <si>
    <t>company.com</t>
  </si>
  <si>
    <t>password</t>
  </si>
  <si>
    <t>E003</t>
  </si>
  <si>
    <t>hr-team@company.com</t>
  </si>
  <si>
    <t>Updated holiday calendar</t>
  </si>
  <si>
    <t>none</t>
  </si>
  <si>
    <t>E004</t>
  </si>
  <si>
    <t>admin@paypol.com</t>
  </si>
  <si>
    <t>Unusual login detected</t>
  </si>
  <si>
    <t>paypol.com</t>
  </si>
  <si>
    <t>verify</t>
  </si>
  <si>
    <t>E005</t>
  </si>
  <si>
    <t>ceo-office@company.com</t>
  </si>
  <si>
    <t>Please review the attached report</t>
  </si>
  <si>
    <t>E006</t>
  </si>
  <si>
    <t>billing@amaz0n-support.com</t>
  </si>
  <si>
    <t>Invoice issue</t>
  </si>
  <si>
    <t>amaz0n-support.com</t>
  </si>
  <si>
    <t>E007</t>
  </si>
  <si>
    <t>security@company.com</t>
  </si>
  <si>
    <t>Security training update</t>
  </si>
  <si>
    <t>E008</t>
  </si>
  <si>
    <t>noreply@micros0ft-check.com</t>
  </si>
  <si>
    <t>Action required immediately</t>
  </si>
  <si>
    <t>micros0ft-check.com</t>
  </si>
  <si>
    <t>action</t>
  </si>
  <si>
    <t>E009</t>
  </si>
  <si>
    <t>marketing@brand.com</t>
  </si>
  <si>
    <t>New offers inside</t>
  </si>
  <si>
    <t>brand.com</t>
  </si>
  <si>
    <t>E010</t>
  </si>
  <si>
    <t>helpdesk@company.com</t>
  </si>
  <si>
    <t>Your password will expire soon</t>
  </si>
  <si>
    <t>SuspiciousDomainFlag</t>
  </si>
  <si>
    <t>UrgentKeywordFlag</t>
  </si>
  <si>
    <t>LinkFlag</t>
  </si>
  <si>
    <t>AttachmentFlag</t>
  </si>
  <si>
    <t>RiskScore</t>
  </si>
  <si>
    <t>Row Labels</t>
  </si>
  <si>
    <t>Grand Total</t>
  </si>
  <si>
    <t>Sum of RiskScore</t>
  </si>
  <si>
    <t>High-Risk Emails</t>
  </si>
  <si>
    <t>Safe 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</si>
</sst>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Sylfaen"/>
      <family val="1"/>
    </font>
    <font>
      <b/>
      <sz val="16"/>
      <color theme="0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1" tint="0.24994659260841701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Font="0" applyBorder="0" applyAlignment="0" applyProtection="0">
      <alignment horizontal="center"/>
    </xf>
    <xf numFmtId="0" fontId="2" fillId="4" borderId="0" applyAlignment="0"/>
  </cellStyleXfs>
  <cellXfs count="9">
    <xf numFmtId="0" fontId="0" fillId="0" borderId="0" xfId="0"/>
    <xf numFmtId="0" fontId="1" fillId="2" borderId="1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2" applyAlignment="1">
      <alignment horizontal="center"/>
    </xf>
    <xf numFmtId="0" fontId="2" fillId="4" borderId="0" xfId="3"/>
    <xf numFmtId="0" fontId="3" fillId="4" borderId="0" xfId="3" applyFont="1" applyAlignment="1">
      <alignment horizontal="center"/>
    </xf>
    <xf numFmtId="0" fontId="4" fillId="4" borderId="0" xfId="3" applyFont="1" applyAlignment="1">
      <alignment horizontal="center"/>
    </xf>
  </cellXfs>
  <cellStyles count="4">
    <cellStyle name="Check Cell" xfId="1" builtinId="23"/>
    <cellStyle name="Normal" xfId="0" builtinId="0"/>
    <cellStyle name="Style 1" xfId="2"/>
    <cellStyle name="Style 2" xfId="3"/>
  </cellStyles>
  <dxfs count="10">
    <dxf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5"/>
        </patternFill>
      </fill>
    </dxf>
    <dxf>
      <fill>
        <patternFill>
          <bgColor theme="5" tint="-0.2499465926084170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[Email_Phishing_Detection_Excel_Project.xlsx]Email_Data!PivotTable3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</c:pivotFmts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13169087754244"/>
          <c:y val="0.28083717313113638"/>
          <c:w val="0.70778519033569487"/>
          <c:h val="0.45969981530086518"/>
        </c:manualLayout>
      </c:layout>
      <c:line3DChart>
        <c:grouping val="standard"/>
        <c:varyColors val="0"/>
        <c:ser>
          <c:idx val="0"/>
          <c:order val="0"/>
          <c:tx>
            <c:strRef>
              <c:f>Email_Data!$O$1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Email_Data!$N$2:$N$12</c:f>
              <c:strCache>
                <c:ptCount val="10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</c:strCache>
            </c:strRef>
          </c:cat>
          <c:val>
            <c:numRef>
              <c:f>Email_Data!$O$2:$O$12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465-4899-8EA7-92F42009D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540207"/>
        <c:axId val="1397527311"/>
        <c:axId val="1179735327"/>
      </c:line3DChart>
      <c:catAx>
        <c:axId val="1397540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27311"/>
        <c:auto val="1"/>
        <c:lblAlgn val="ctr"/>
        <c:lblOffset val="100"/>
        <c:noMultiLvlLbl val="0"/>
      </c:catAx>
      <c:valAx>
        <c:axId val="139752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40207"/>
        <c:crossBetween val="between"/>
      </c:valAx>
      <c:serAx>
        <c:axId val="11797353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527311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[Email_Phishing_Detection_Excel_Project.xlsx]Email_Data!PivotTable3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Email_Data!$O$1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Email_Data!$N$2:$N$12</c:f>
              <c:strCache>
                <c:ptCount val="10"/>
                <c:pt idx="0">
                  <c:v>E001</c:v>
                </c:pt>
                <c:pt idx="1">
                  <c:v>E002</c:v>
                </c:pt>
                <c:pt idx="2">
                  <c:v>E003</c:v>
                </c:pt>
                <c:pt idx="3">
                  <c:v>E004</c:v>
                </c:pt>
                <c:pt idx="4">
                  <c:v>E005</c:v>
                </c:pt>
                <c:pt idx="5">
                  <c:v>E006</c:v>
                </c:pt>
                <c:pt idx="6">
                  <c:v>E007</c:v>
                </c:pt>
                <c:pt idx="7">
                  <c:v>E008</c:v>
                </c:pt>
                <c:pt idx="8">
                  <c:v>E009</c:v>
                </c:pt>
                <c:pt idx="9">
                  <c:v>E010</c:v>
                </c:pt>
              </c:strCache>
            </c:strRef>
          </c:cat>
          <c:val>
            <c:numRef>
              <c:f>Email_Data!$O$2:$O$12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5-42A1-9A7C-DA9D10924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152400</xdr:rowOff>
    </xdr:from>
    <xdr:to>
      <xdr:col>8</xdr:col>
      <xdr:colOff>361950</xdr:colOff>
      <xdr:row>17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204787</xdr:colOff>
      <xdr:row>0</xdr:row>
      <xdr:rowOff>200025</xdr:rowOff>
    </xdr:from>
    <xdr:to>
      <xdr:col>22</xdr:col>
      <xdr:colOff>323850</xdr:colOff>
      <xdr:row>14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riGin" refreshedDate="45996.521739814816" createdVersion="6" refreshedVersion="6" minRefreshableVersion="3" recordCount="10">
  <cacheSource type="worksheet">
    <worksheetSource ref="A1:L11" sheet="Email_Data"/>
  </cacheSource>
  <cacheFields count="12">
    <cacheField name="EmailID" numFmtId="0">
      <sharedItems count="10">
        <s v="E001"/>
        <s v="E002"/>
        <s v="E003"/>
        <s v="E004"/>
        <s v="E005"/>
        <s v="E006"/>
        <s v="E007"/>
        <s v="E008"/>
        <s v="E009"/>
        <s v="E010"/>
      </sharedItems>
    </cacheField>
    <cacheField name="Sender" numFmtId="0">
      <sharedItems count="10">
        <s v="paypal-alert@secure-paypal.com"/>
        <s v="it-support@company.com"/>
        <s v="hr-team@company.com"/>
        <s v="admin@paypol.com"/>
        <s v="ceo-office@company.com"/>
        <s v="billing@amaz0n-support.com"/>
        <s v="security@company.com"/>
        <s v="noreply@micros0ft-check.com"/>
        <s v="marketing@brand.com"/>
        <s v="helpdesk@company.com"/>
      </sharedItems>
    </cacheField>
    <cacheField name="Subject" numFmtId="0">
      <sharedItems/>
    </cacheField>
    <cacheField name="Domain" numFmtId="0">
      <sharedItems/>
    </cacheField>
    <cacheField name="HasLink" numFmtId="0">
      <sharedItems/>
    </cacheField>
    <cacheField name="HasAttachment" numFmtId="0">
      <sharedItems/>
    </cacheField>
    <cacheField name="KeywordFlag" numFmtId="0">
      <sharedItems/>
    </cacheField>
    <cacheField name="SuspiciousDomainFlag" numFmtId="0">
      <sharedItems containsSemiMixedTypes="0" containsString="0" containsNumber="1" containsInteger="1" minValue="0" maxValue="1"/>
    </cacheField>
    <cacheField name="UrgentKeywordFlag" numFmtId="0">
      <sharedItems containsSemiMixedTypes="0" containsString="0" containsNumber="1" containsInteger="1" minValue="0" maxValue="1"/>
    </cacheField>
    <cacheField name="LinkFlag" numFmtId="0">
      <sharedItems containsSemiMixedTypes="0" containsString="0" containsNumber="1" containsInteger="1" minValue="0" maxValue="1"/>
    </cacheField>
    <cacheField name="AttachmentFlag" numFmtId="0">
      <sharedItems containsSemiMixedTypes="0" containsString="0" containsNumber="1" containsInteger="1" minValue="0" maxValue="1"/>
    </cacheField>
    <cacheField name="RiskScore" numFmtId="0">
      <sharedItems containsSemiMixedTypes="0" containsString="0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s v="Your account needs verification"/>
    <s v="secure-paypal.com"/>
    <s v="Yes"/>
    <s v="No"/>
    <s v="urgent"/>
    <n v="0"/>
    <n v="1"/>
    <n v="1"/>
    <n v="0"/>
    <n v="2"/>
  </r>
  <r>
    <x v="1"/>
    <x v="1"/>
    <s v="Password reset request"/>
    <s v="company.com"/>
    <s v="Yes"/>
    <s v="No"/>
    <s v="password"/>
    <n v="0"/>
    <n v="1"/>
    <n v="1"/>
    <n v="0"/>
    <n v="2"/>
  </r>
  <r>
    <x v="2"/>
    <x v="2"/>
    <s v="Updated holiday calendar"/>
    <s v="company.com"/>
    <s v="No"/>
    <s v="Yes"/>
    <s v="none"/>
    <n v="0"/>
    <n v="0"/>
    <n v="0"/>
    <n v="1"/>
    <n v="1"/>
  </r>
  <r>
    <x v="3"/>
    <x v="3"/>
    <s v="Unusual login detected"/>
    <s v="paypol.com"/>
    <s v="Yes"/>
    <s v="No"/>
    <s v="verify"/>
    <n v="1"/>
    <n v="1"/>
    <n v="1"/>
    <n v="0"/>
    <n v="3"/>
  </r>
  <r>
    <x v="4"/>
    <x v="4"/>
    <s v="Please review the attached report"/>
    <s v="company.com"/>
    <s v="No"/>
    <s v="Yes"/>
    <s v="none"/>
    <n v="0"/>
    <n v="0"/>
    <n v="0"/>
    <n v="1"/>
    <n v="1"/>
  </r>
  <r>
    <x v="5"/>
    <x v="5"/>
    <s v="Invoice issue"/>
    <s v="amaz0n-support.com"/>
    <s v="Yes"/>
    <s v="No"/>
    <s v="urgent"/>
    <n v="1"/>
    <n v="1"/>
    <n v="1"/>
    <n v="0"/>
    <n v="3"/>
  </r>
  <r>
    <x v="6"/>
    <x v="6"/>
    <s v="Security training update"/>
    <s v="company.com"/>
    <s v="No"/>
    <s v="No"/>
    <s v="none"/>
    <n v="0"/>
    <n v="0"/>
    <n v="0"/>
    <n v="0"/>
    <n v="0"/>
  </r>
  <r>
    <x v="7"/>
    <x v="7"/>
    <s v="Action required immediately"/>
    <s v="micros0ft-check.com"/>
    <s v="Yes"/>
    <s v="No"/>
    <s v="action"/>
    <n v="1"/>
    <n v="1"/>
    <n v="1"/>
    <n v="0"/>
    <n v="3"/>
  </r>
  <r>
    <x v="8"/>
    <x v="8"/>
    <s v="New offers inside"/>
    <s v="brand.com"/>
    <s v="Yes"/>
    <s v="No"/>
    <s v="none"/>
    <n v="0"/>
    <n v="0"/>
    <n v="1"/>
    <n v="0"/>
    <n v="1"/>
  </r>
  <r>
    <x v="9"/>
    <x v="9"/>
    <s v="Your password will expire soon"/>
    <s v="company.com"/>
    <s v="No"/>
    <s v="No"/>
    <s v="password"/>
    <n v="0"/>
    <n v="1"/>
    <n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N1:O12" firstHeaderRow="1" firstDataRow="1" firstDataCol="1"/>
  <pivotFields count="12"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t="default" sd="0"/>
      </items>
    </pivotField>
    <pivotField axis="axisRow" showAll="0">
      <items count="11">
        <item x="3"/>
        <item x="5"/>
        <item x="4"/>
        <item x="9"/>
        <item x="2"/>
        <item x="1"/>
        <item x="8"/>
        <item x="7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0"/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iskScore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tabSelected="1" workbookViewId="0">
      <selection activeCell="B2" sqref="B2:J19"/>
    </sheetView>
  </sheetViews>
  <sheetFormatPr defaultRowHeight="15" x14ac:dyDescent="0.25"/>
  <sheetData>
    <row r="2" spans="2:10" x14ac:dyDescent="0.25">
      <c r="B2" s="6"/>
      <c r="C2" s="7" t="s">
        <v>58</v>
      </c>
      <c r="D2" s="7"/>
      <c r="E2" s="7"/>
      <c r="F2" s="6"/>
      <c r="G2" s="7" t="s">
        <v>59</v>
      </c>
      <c r="H2" s="7"/>
      <c r="I2" s="7"/>
      <c r="J2" s="6"/>
    </row>
    <row r="3" spans="2:10" ht="19.5" x14ac:dyDescent="0.25">
      <c r="B3" s="6"/>
      <c r="C3" s="8">
        <f>COUNTIF(Email_Data!L:L, "&gt;=3")</f>
        <v>3</v>
      </c>
      <c r="D3" s="8"/>
      <c r="E3" s="8"/>
      <c r="F3" s="6"/>
      <c r="G3" s="8">
        <f>COUNTIF(Email_Data!L:L, "&lt;3")</f>
        <v>7</v>
      </c>
      <c r="H3" s="8"/>
      <c r="I3" s="8"/>
      <c r="J3" s="6"/>
    </row>
    <row r="4" spans="2:10" x14ac:dyDescent="0.25">
      <c r="B4" s="5"/>
      <c r="C4" s="5"/>
      <c r="D4" s="5"/>
      <c r="E4" s="5"/>
      <c r="F4" s="5"/>
      <c r="G4" s="5"/>
      <c r="H4" s="5"/>
      <c r="I4" s="5"/>
      <c r="J4" s="5"/>
    </row>
    <row r="5" spans="2:10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x14ac:dyDescent="0.25">
      <c r="B6" s="5"/>
      <c r="C6" s="5"/>
      <c r="D6" s="5"/>
      <c r="E6" s="5"/>
      <c r="F6" s="5"/>
      <c r="G6" s="5"/>
      <c r="H6" s="5"/>
      <c r="I6" s="5"/>
      <c r="J6" s="5"/>
    </row>
    <row r="7" spans="2:10" x14ac:dyDescent="0.25">
      <c r="B7" s="5"/>
      <c r="C7" s="5"/>
      <c r="D7" s="5"/>
      <c r="E7" s="5"/>
      <c r="F7" s="5"/>
      <c r="G7" s="5"/>
      <c r="H7" s="5"/>
      <c r="I7" s="5"/>
      <c r="J7" s="5"/>
    </row>
    <row r="8" spans="2:10" x14ac:dyDescent="0.25">
      <c r="B8" s="5"/>
      <c r="C8" s="5"/>
      <c r="D8" s="5"/>
      <c r="E8" s="5"/>
      <c r="F8" s="5"/>
      <c r="G8" s="5"/>
      <c r="H8" s="5"/>
      <c r="I8" s="5"/>
      <c r="J8" s="5"/>
    </row>
    <row r="9" spans="2:10" x14ac:dyDescent="0.25">
      <c r="B9" s="5"/>
      <c r="C9" s="5"/>
      <c r="D9" s="5"/>
      <c r="E9" s="5"/>
      <c r="F9" s="5"/>
      <c r="G9" s="5"/>
      <c r="H9" s="5"/>
      <c r="I9" s="5"/>
      <c r="J9" s="5"/>
    </row>
    <row r="10" spans="2:10" x14ac:dyDescent="0.25">
      <c r="B10" s="5"/>
      <c r="C10" s="5"/>
      <c r="D10" s="5"/>
      <c r="E10" s="5"/>
      <c r="F10" s="5"/>
      <c r="G10" s="5"/>
      <c r="H10" s="5"/>
      <c r="I10" s="5"/>
      <c r="J10" s="5"/>
    </row>
    <row r="11" spans="2:10" x14ac:dyDescent="0.25">
      <c r="B11" s="5"/>
      <c r="C11" s="5"/>
      <c r="D11" s="5"/>
      <c r="E11" s="5"/>
      <c r="F11" s="5"/>
      <c r="G11" s="5"/>
      <c r="H11" s="5"/>
      <c r="I11" s="5"/>
      <c r="J11" s="5"/>
    </row>
    <row r="12" spans="2:10" x14ac:dyDescent="0.25">
      <c r="B12" s="5"/>
      <c r="C12" s="5"/>
      <c r="D12" s="5"/>
      <c r="E12" s="5"/>
      <c r="F12" s="5"/>
      <c r="G12" s="5"/>
      <c r="H12" s="5"/>
      <c r="I12" s="5"/>
      <c r="J12" s="5"/>
    </row>
    <row r="13" spans="2:10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/>
      <c r="D14" s="5"/>
      <c r="E14" s="5"/>
      <c r="F14" s="5"/>
      <c r="G14" s="5"/>
      <c r="H14" s="5"/>
      <c r="I14" s="5"/>
      <c r="J14" s="5"/>
    </row>
    <row r="15" spans="2:10" x14ac:dyDescent="0.25">
      <c r="B15" s="5"/>
      <c r="C15" s="5"/>
      <c r="D15" s="5"/>
      <c r="E15" s="5"/>
      <c r="F15" s="5"/>
      <c r="G15" s="5"/>
      <c r="H15" s="5"/>
      <c r="I15" s="5"/>
      <c r="J15" s="5"/>
    </row>
    <row r="16" spans="2:10" x14ac:dyDescent="0.25">
      <c r="B16" s="5"/>
      <c r="C16" s="5"/>
      <c r="D16" s="5"/>
      <c r="E16" s="5"/>
      <c r="F16" s="5"/>
      <c r="G16" s="5"/>
      <c r="H16" s="5"/>
      <c r="I16" s="5"/>
      <c r="J16" s="5"/>
    </row>
    <row r="17" spans="2:10" x14ac:dyDescent="0.25">
      <c r="B17" s="5"/>
      <c r="C17" s="5"/>
      <c r="D17" s="5"/>
      <c r="E17" s="5"/>
      <c r="F17" s="5"/>
      <c r="G17" s="5"/>
      <c r="H17" s="5"/>
      <c r="I17" s="5"/>
      <c r="J17" s="5"/>
    </row>
    <row r="18" spans="2:10" x14ac:dyDescent="0.25">
      <c r="B18" s="5"/>
      <c r="C18" s="5"/>
      <c r="D18" s="5"/>
      <c r="E18" s="5"/>
      <c r="F18" s="5"/>
      <c r="G18" s="5"/>
      <c r="H18" s="5"/>
      <c r="I18" s="5"/>
      <c r="J18" s="5"/>
    </row>
    <row r="19" spans="2:10" x14ac:dyDescent="0.25">
      <c r="B19" s="5"/>
      <c r="C19" s="5"/>
      <c r="D19" s="5"/>
      <c r="E19" s="5"/>
      <c r="F19" s="5"/>
      <c r="G19" s="5"/>
      <c r="H19" s="5"/>
      <c r="I19" s="5"/>
      <c r="J19" s="5"/>
    </row>
  </sheetData>
  <mergeCells count="5">
    <mergeCell ref="C2:E2"/>
    <mergeCell ref="C3:E3"/>
    <mergeCell ref="G2:I2"/>
    <mergeCell ref="G3:I3"/>
    <mergeCell ref="B4:J19"/>
  </mergeCells>
  <pageMargins left="0.7" right="0.7" top="0.75" bottom="0.75" header="0.3" footer="0.3"/>
  <pageSetup paperSize="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opLeftCell="G1" workbookViewId="0">
      <selection activeCell="T18" sqref="T18"/>
    </sheetView>
  </sheetViews>
  <sheetFormatPr defaultRowHeight="15" x14ac:dyDescent="0.25"/>
  <cols>
    <col min="14" max="14" width="13.140625" customWidth="1"/>
    <col min="15" max="15" width="16.140625" bestFit="1" customWidth="1"/>
  </cols>
  <sheetData>
    <row r="1" spans="1:15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N1" s="2" t="s">
        <v>55</v>
      </c>
      <c r="O1" t="s">
        <v>57</v>
      </c>
    </row>
    <row r="2" spans="1:15" ht="15.75" thickTop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f>IF(OR(ISNUMBER(SEARCH("0",D2)), ISNUMBER(SEARCH("paypol",D2)), ISNUMBER(SEARCH("check",D2))), 1, 0)</f>
        <v>0</v>
      </c>
      <c r="I2">
        <f>IF(OR(G2="urgent", G2="verify", G2="password", G2="action"), 1, 0)</f>
        <v>1</v>
      </c>
      <c r="J2">
        <f>IF(E2="Yes", 1, 0)</f>
        <v>1</v>
      </c>
      <c r="K2">
        <f>IF(F2="Yes", 1, 0)</f>
        <v>0</v>
      </c>
      <c r="L2">
        <f>H2 + I2 + J2 + K2</f>
        <v>2</v>
      </c>
      <c r="N2" s="3" t="s">
        <v>7</v>
      </c>
      <c r="O2" s="4">
        <v>2</v>
      </c>
    </row>
    <row r="3" spans="1:15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  <c r="H3">
        <f t="shared" ref="H3:H11" si="0">IF(OR(ISNUMBER(SEARCH("0",D3)), ISNUMBER(SEARCH("paypol",D3)), ISNUMBER(SEARCH("check",D3))), 1, 0)</f>
        <v>0</v>
      </c>
      <c r="I3">
        <f t="shared" ref="I3:I11" si="1">IF(OR(G3="urgent", G3="verify", G3="password", G3="action"), 1, 0)</f>
        <v>1</v>
      </c>
      <c r="J3">
        <f t="shared" ref="J3:J11" si="2">IF(E3="Yes", 1, 0)</f>
        <v>1</v>
      </c>
      <c r="K3">
        <f t="shared" ref="K3:K11" si="3">IF(F3="Yes", 1, 0)</f>
        <v>0</v>
      </c>
      <c r="L3">
        <f t="shared" ref="L3:L11" si="4">H3 + I3 + J3 + K3</f>
        <v>2</v>
      </c>
      <c r="N3" s="3" t="s">
        <v>14</v>
      </c>
      <c r="O3" s="4">
        <v>2</v>
      </c>
    </row>
    <row r="4" spans="1:15" x14ac:dyDescent="0.25">
      <c r="A4" t="s">
        <v>19</v>
      </c>
      <c r="B4" t="s">
        <v>20</v>
      </c>
      <c r="C4" t="s">
        <v>21</v>
      </c>
      <c r="D4" t="s">
        <v>17</v>
      </c>
      <c r="E4" t="s">
        <v>12</v>
      </c>
      <c r="F4" t="s">
        <v>11</v>
      </c>
      <c r="G4" t="s">
        <v>22</v>
      </c>
      <c r="H4">
        <f t="shared" si="0"/>
        <v>0</v>
      </c>
      <c r="I4">
        <f t="shared" si="1"/>
        <v>0</v>
      </c>
      <c r="J4">
        <f t="shared" si="2"/>
        <v>0</v>
      </c>
      <c r="K4">
        <f t="shared" si="3"/>
        <v>1</v>
      </c>
      <c r="L4">
        <f t="shared" si="4"/>
        <v>1</v>
      </c>
      <c r="N4" s="3" t="s">
        <v>19</v>
      </c>
      <c r="O4" s="4">
        <v>1</v>
      </c>
    </row>
    <row r="5" spans="1:15" x14ac:dyDescent="0.25">
      <c r="A5" t="s">
        <v>23</v>
      </c>
      <c r="B5" t="s">
        <v>24</v>
      </c>
      <c r="C5" t="s">
        <v>25</v>
      </c>
      <c r="D5" t="s">
        <v>26</v>
      </c>
      <c r="E5" t="s">
        <v>11</v>
      </c>
      <c r="F5" t="s">
        <v>12</v>
      </c>
      <c r="G5" t="s">
        <v>27</v>
      </c>
      <c r="H5">
        <f t="shared" si="0"/>
        <v>1</v>
      </c>
      <c r="I5">
        <f t="shared" si="1"/>
        <v>1</v>
      </c>
      <c r="J5">
        <f t="shared" si="2"/>
        <v>1</v>
      </c>
      <c r="K5">
        <f t="shared" si="3"/>
        <v>0</v>
      </c>
      <c r="L5">
        <f t="shared" si="4"/>
        <v>3</v>
      </c>
      <c r="N5" s="3" t="s">
        <v>23</v>
      </c>
      <c r="O5" s="4">
        <v>3</v>
      </c>
    </row>
    <row r="6" spans="1:15" x14ac:dyDescent="0.25">
      <c r="A6" t="s">
        <v>28</v>
      </c>
      <c r="B6" t="s">
        <v>29</v>
      </c>
      <c r="C6" t="s">
        <v>30</v>
      </c>
      <c r="D6" t="s">
        <v>17</v>
      </c>
      <c r="E6" t="s">
        <v>12</v>
      </c>
      <c r="F6" t="s">
        <v>11</v>
      </c>
      <c r="G6" t="s">
        <v>22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1</v>
      </c>
      <c r="L6">
        <f t="shared" si="4"/>
        <v>1</v>
      </c>
      <c r="N6" s="3" t="s">
        <v>28</v>
      </c>
      <c r="O6" s="4">
        <v>1</v>
      </c>
    </row>
    <row r="7" spans="1:15" x14ac:dyDescent="0.25">
      <c r="A7" t="s">
        <v>31</v>
      </c>
      <c r="B7" t="s">
        <v>32</v>
      </c>
      <c r="C7" t="s">
        <v>33</v>
      </c>
      <c r="D7" t="s">
        <v>34</v>
      </c>
      <c r="E7" t="s">
        <v>11</v>
      </c>
      <c r="F7" t="s">
        <v>12</v>
      </c>
      <c r="G7" t="s">
        <v>13</v>
      </c>
      <c r="H7">
        <f t="shared" si="0"/>
        <v>1</v>
      </c>
      <c r="I7">
        <f t="shared" si="1"/>
        <v>1</v>
      </c>
      <c r="J7">
        <f t="shared" si="2"/>
        <v>1</v>
      </c>
      <c r="K7">
        <f t="shared" si="3"/>
        <v>0</v>
      </c>
      <c r="L7">
        <f t="shared" si="4"/>
        <v>3</v>
      </c>
      <c r="N7" s="3" t="s">
        <v>31</v>
      </c>
      <c r="O7" s="4">
        <v>3</v>
      </c>
    </row>
    <row r="8" spans="1:15" x14ac:dyDescent="0.25">
      <c r="A8" t="s">
        <v>35</v>
      </c>
      <c r="B8" t="s">
        <v>36</v>
      </c>
      <c r="C8" t="s">
        <v>37</v>
      </c>
      <c r="D8" t="s">
        <v>17</v>
      </c>
      <c r="E8" t="s">
        <v>12</v>
      </c>
      <c r="F8" t="s">
        <v>12</v>
      </c>
      <c r="G8" t="s">
        <v>22</v>
      </c>
      <c r="H8">
        <f t="shared" si="0"/>
        <v>0</v>
      </c>
      <c r="I8">
        <f t="shared" si="1"/>
        <v>0</v>
      </c>
      <c r="J8">
        <f t="shared" si="2"/>
        <v>0</v>
      </c>
      <c r="K8">
        <f t="shared" si="3"/>
        <v>0</v>
      </c>
      <c r="L8">
        <f t="shared" si="4"/>
        <v>0</v>
      </c>
      <c r="N8" s="3" t="s">
        <v>35</v>
      </c>
      <c r="O8" s="4">
        <v>0</v>
      </c>
    </row>
    <row r="9" spans="1:15" x14ac:dyDescent="0.25">
      <c r="A9" t="s">
        <v>38</v>
      </c>
      <c r="B9" t="s">
        <v>39</v>
      </c>
      <c r="C9" t="s">
        <v>40</v>
      </c>
      <c r="D9" t="s">
        <v>41</v>
      </c>
      <c r="E9" t="s">
        <v>11</v>
      </c>
      <c r="F9" t="s">
        <v>12</v>
      </c>
      <c r="G9" t="s">
        <v>42</v>
      </c>
      <c r="H9">
        <f t="shared" si="0"/>
        <v>1</v>
      </c>
      <c r="I9">
        <f t="shared" si="1"/>
        <v>1</v>
      </c>
      <c r="J9">
        <f t="shared" si="2"/>
        <v>1</v>
      </c>
      <c r="K9">
        <f t="shared" si="3"/>
        <v>0</v>
      </c>
      <c r="L9">
        <f t="shared" si="4"/>
        <v>3</v>
      </c>
      <c r="N9" s="3" t="s">
        <v>38</v>
      </c>
      <c r="O9" s="4">
        <v>3</v>
      </c>
    </row>
    <row r="10" spans="1:15" x14ac:dyDescent="0.25">
      <c r="A10" t="s">
        <v>43</v>
      </c>
      <c r="B10" t="s">
        <v>44</v>
      </c>
      <c r="C10" t="s">
        <v>45</v>
      </c>
      <c r="D10" t="s">
        <v>46</v>
      </c>
      <c r="E10" t="s">
        <v>11</v>
      </c>
      <c r="F10" t="s">
        <v>12</v>
      </c>
      <c r="G10" t="s">
        <v>22</v>
      </c>
      <c r="H10">
        <f t="shared" si="0"/>
        <v>0</v>
      </c>
      <c r="I10">
        <f t="shared" si="1"/>
        <v>0</v>
      </c>
      <c r="J10">
        <f t="shared" si="2"/>
        <v>1</v>
      </c>
      <c r="K10">
        <f t="shared" si="3"/>
        <v>0</v>
      </c>
      <c r="L10">
        <f t="shared" si="4"/>
        <v>1</v>
      </c>
      <c r="N10" s="3" t="s">
        <v>43</v>
      </c>
      <c r="O10" s="4">
        <v>1</v>
      </c>
    </row>
    <row r="11" spans="1:15" x14ac:dyDescent="0.25">
      <c r="A11" t="s">
        <v>47</v>
      </c>
      <c r="B11" t="s">
        <v>48</v>
      </c>
      <c r="C11" t="s">
        <v>49</v>
      </c>
      <c r="D11" t="s">
        <v>17</v>
      </c>
      <c r="E11" t="s">
        <v>12</v>
      </c>
      <c r="F11" t="s">
        <v>12</v>
      </c>
      <c r="G11" t="s">
        <v>18</v>
      </c>
      <c r="H11">
        <f t="shared" si="0"/>
        <v>0</v>
      </c>
      <c r="I11">
        <f t="shared" si="1"/>
        <v>1</v>
      </c>
      <c r="J11">
        <f t="shared" si="2"/>
        <v>0</v>
      </c>
      <c r="K11">
        <f t="shared" si="3"/>
        <v>0</v>
      </c>
      <c r="L11">
        <f t="shared" si="4"/>
        <v>1</v>
      </c>
      <c r="N11" s="3" t="s">
        <v>47</v>
      </c>
      <c r="O11" s="4">
        <v>1</v>
      </c>
    </row>
    <row r="12" spans="1:15" x14ac:dyDescent="0.25">
      <c r="N12" s="3" t="s">
        <v>56</v>
      </c>
      <c r="O12" s="4">
        <v>17</v>
      </c>
    </row>
  </sheetData>
  <conditionalFormatting sqref="A2:L11">
    <cfRule type="expression" dxfId="3" priority="1">
      <formula>$L2&gt;=3</formula>
    </cfRule>
    <cfRule type="expression" dxfId="2" priority="2">
      <formula>"L2&gt;=3"</formula>
    </cfRule>
    <cfRule type="expression" dxfId="1" priority="3">
      <formula>"L&gt;=3"</formula>
    </cfRule>
    <cfRule type="expression" dxfId="0" priority="4">
      <formula>"L&lt;=3"</formula>
    </cfRule>
  </conditionalFormatting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Email_Analyis_Dashboard</vt:lpstr>
      <vt:lpstr>Email_Data</vt:lpstr>
      <vt:lpstr>Email_Analyis_Dashboard!Print_Area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OriGin</dc:creator>
  <cp:lastModifiedBy>OriGin</cp:lastModifiedBy>
  <cp:lastPrinted>2025-12-05T07:24:48Z</cp:lastPrinted>
  <dcterms:created xsi:type="dcterms:W3CDTF">2025-12-05T06:17:18Z</dcterms:created>
  <dcterms:modified xsi:type="dcterms:W3CDTF">2025-12-05T07:25:16Z</dcterms:modified>
</cp:coreProperties>
</file>