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iGin\Desktop\"/>
    </mc:Choice>
  </mc:AlternateContent>
  <bookViews>
    <workbookView xWindow="0" yWindow="0" windowWidth="3795" windowHeight="2700"/>
  </bookViews>
  <sheets>
    <sheet name="Project_Overview" sheetId="6" r:id="rId1"/>
    <sheet name="Transaction_Data" sheetId="1" r:id="rId2"/>
    <sheet name="Country_Risk_Analysis" sheetId="2" r:id="rId3"/>
    <sheet name="IP_Risk_Analysis" sheetId="3" r:id="rId4"/>
    <sheet name="Customer_Risk_Analysis" sheetId="4" r:id="rId5"/>
  </sheets>
  <calcPr calcId="162913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</calcChain>
</file>

<file path=xl/sharedStrings.xml><?xml version="1.0" encoding="utf-8"?>
<sst xmlns="http://schemas.openxmlformats.org/spreadsheetml/2006/main" count="233" uniqueCount="103">
  <si>
    <t>TransactionID</t>
  </si>
  <si>
    <t>Date</t>
  </si>
  <si>
    <t>Time</t>
  </si>
  <si>
    <t>CustomerID</t>
  </si>
  <si>
    <t>Amount</t>
  </si>
  <si>
    <t>Merchant</t>
  </si>
  <si>
    <t>Country</t>
  </si>
  <si>
    <t>CardPresent</t>
  </si>
  <si>
    <t>AuthResult</t>
  </si>
  <si>
    <t>IP</t>
  </si>
  <si>
    <t>Device</t>
  </si>
  <si>
    <t>T0001</t>
  </si>
  <si>
    <t>C1001</t>
  </si>
  <si>
    <t>MobileStore</t>
  </si>
  <si>
    <t>India</t>
  </si>
  <si>
    <t>Yes</t>
  </si>
  <si>
    <t>Approved</t>
  </si>
  <si>
    <t>103.21.11.4</t>
  </si>
  <si>
    <t>Mobile</t>
  </si>
  <si>
    <t>T0002</t>
  </si>
  <si>
    <t>C1002</t>
  </si>
  <si>
    <t>ElectroMax</t>
  </si>
  <si>
    <t>No</t>
  </si>
  <si>
    <t>45.66.77.10</t>
  </si>
  <si>
    <t>Web</t>
  </si>
  <si>
    <t>T0003</t>
  </si>
  <si>
    <t>C1003</t>
  </si>
  <si>
    <t>CafeCorner</t>
  </si>
  <si>
    <t>POS</t>
  </si>
  <si>
    <t>T0004</t>
  </si>
  <si>
    <t>C1004</t>
  </si>
  <si>
    <t>TravelGo</t>
  </si>
  <si>
    <t>UK</t>
  </si>
  <si>
    <t>Declined</t>
  </si>
  <si>
    <t>82.45.12.9</t>
  </si>
  <si>
    <t>T0005</t>
  </si>
  <si>
    <t>T0006</t>
  </si>
  <si>
    <t>C1005</t>
  </si>
  <si>
    <t>JewelsWorld</t>
  </si>
  <si>
    <t>203.88.9.1</t>
  </si>
  <si>
    <t>T0007</t>
  </si>
  <si>
    <t>C1006</t>
  </si>
  <si>
    <t>Grocer</t>
  </si>
  <si>
    <t>105.22.33.2</t>
  </si>
  <si>
    <t>T0008</t>
  </si>
  <si>
    <t>C1007</t>
  </si>
  <si>
    <t>T0009</t>
  </si>
  <si>
    <t>T0010</t>
  </si>
  <si>
    <t>C1008</t>
  </si>
  <si>
    <t>Antiques</t>
  </si>
  <si>
    <t>France</t>
  </si>
  <si>
    <t>91.33.55.12</t>
  </si>
  <si>
    <t>T0011</t>
  </si>
  <si>
    <t>C1009</t>
  </si>
  <si>
    <t>Pharma</t>
  </si>
  <si>
    <t>T0012</t>
  </si>
  <si>
    <t>C1010</t>
  </si>
  <si>
    <t>MobileTopup</t>
  </si>
  <si>
    <t>T0013</t>
  </si>
  <si>
    <t>C1011</t>
  </si>
  <si>
    <t>T0014</t>
  </si>
  <si>
    <t>C1012</t>
  </si>
  <si>
    <t>DiamondHub</t>
  </si>
  <si>
    <t>T0015</t>
  </si>
  <si>
    <t>C1013</t>
  </si>
  <si>
    <t>T0016</t>
  </si>
  <si>
    <t>T0017</t>
  </si>
  <si>
    <t>C1014</t>
  </si>
  <si>
    <t>T0018</t>
  </si>
  <si>
    <t>C1015</t>
  </si>
  <si>
    <t>T0019</t>
  </si>
  <si>
    <t>C1016</t>
  </si>
  <si>
    <t>T0020</t>
  </si>
  <si>
    <t>C1017</t>
  </si>
  <si>
    <t>BookStore</t>
  </si>
  <si>
    <t>HighAmountFlag</t>
  </si>
  <si>
    <t>ForeignFlag</t>
  </si>
  <si>
    <t>CardNotPresentFlag</t>
  </si>
  <si>
    <t>RepeatIPFlag</t>
  </si>
  <si>
    <t>RiskScore</t>
  </si>
  <si>
    <t>SuspicionSummary</t>
  </si>
  <si>
    <t>DeclineBeforeApproved</t>
  </si>
  <si>
    <t>Row Labels</t>
  </si>
  <si>
    <t>Grand Total</t>
  </si>
  <si>
    <t>Sum of RiskScore</t>
  </si>
  <si>
    <t>Count of TransactionID</t>
  </si>
  <si>
    <t>Objective:</t>
  </si>
  <si>
    <t>Analyze transaction data to identify fraud patterns using Excel tools.</t>
  </si>
  <si>
    <t>Techniques Used:</t>
  </si>
  <si>
    <t>Data cleaning</t>
  </si>
  <si>
    <t>Fraud flag creation</t>
  </si>
  <si>
    <t>Weighted risk scoring</t>
  </si>
  <si>
    <t>Conditional formatting</t>
  </si>
  <si>
    <t>PivotTables</t>
  </si>
  <si>
    <t>PivotCharts</t>
  </si>
  <si>
    <t>Pattern analysis</t>
  </si>
  <si>
    <t>Key Insights:</t>
  </si>
  <si>
    <t>High-risk IP detected: 45.66.77.10</t>
  </si>
  <si>
    <t>High-value suspicious transactions identified</t>
  </si>
  <si>
    <t>Foreign transactions flagged</t>
  </si>
  <si>
    <t>Customers with repeated high-risk patterns highlighted</t>
  </si>
  <si>
    <t>(Simulated Portfolio Project)</t>
  </si>
  <si>
    <t xml:space="preserve">                                                 FRAUD RISK ANALYSIS — PROJECT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</si>
</sst>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[transaction.xlsx]Country_Risk_Analysis!PivotTable1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Country_Risk_Analysis!$B$3</c:f>
              <c:strCache>
                <c:ptCount val="1"/>
                <c:pt idx="0">
                  <c:v>Sum of RiskScore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Country_Risk_Analysis!$A$4:$A$7</c:f>
              <c:strCache>
                <c:ptCount val="3"/>
                <c:pt idx="0">
                  <c:v>France</c:v>
                </c:pt>
                <c:pt idx="1">
                  <c:v>India</c:v>
                </c:pt>
                <c:pt idx="2">
                  <c:v>UK</c:v>
                </c:pt>
              </c:strCache>
            </c:strRef>
          </c:cat>
          <c:val>
            <c:numRef>
              <c:f>Country_Risk_Analysis!$B$4:$B$7</c:f>
              <c:numCache>
                <c:formatCode>General</c:formatCode>
                <c:ptCount val="3"/>
                <c:pt idx="0">
                  <c:v>7</c:v>
                </c:pt>
                <c:pt idx="1">
                  <c:v>68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1-4FEC-8A23-6265E9C85056}"/>
            </c:ext>
          </c:extLst>
        </c:ser>
        <c:ser>
          <c:idx val="1"/>
          <c:order val="1"/>
          <c:tx>
            <c:strRef>
              <c:f>Country_Risk_Analysis!$C$3</c:f>
              <c:strCache>
                <c:ptCount val="1"/>
                <c:pt idx="0">
                  <c:v>Count of TransactionID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Country_Risk_Analysis!$A$4:$A$7</c:f>
              <c:strCache>
                <c:ptCount val="3"/>
                <c:pt idx="0">
                  <c:v>France</c:v>
                </c:pt>
                <c:pt idx="1">
                  <c:v>India</c:v>
                </c:pt>
                <c:pt idx="2">
                  <c:v>UK</c:v>
                </c:pt>
              </c:strCache>
            </c:strRef>
          </c:cat>
          <c:val>
            <c:numRef>
              <c:f>Country_Risk_Analysis!$C$4:$C$7</c:f>
              <c:numCache>
                <c:formatCode>General</c:formatCode>
                <c:ptCount val="3"/>
                <c:pt idx="0">
                  <c:v>1</c:v>
                </c:pt>
                <c:pt idx="1">
                  <c:v>17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91-4FEC-8A23-6265E9C85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9348992"/>
        <c:axId val="1499342752"/>
      </c:barChart>
      <c:catAx>
        <c:axId val="149934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42752"/>
        <c:crosses val="autoZero"/>
        <c:auto val="1"/>
        <c:lblAlgn val="ctr"/>
        <c:lblOffset val="100"/>
        <c:noMultiLvlLbl val="0"/>
      </c:catAx>
      <c:valAx>
        <c:axId val="149934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4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[transaction.xlsx]IP_Risk_Analysis!PivotTable2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IP_Risk_Analysis!$B$3</c:f>
              <c:strCache>
                <c:ptCount val="1"/>
                <c:pt idx="0">
                  <c:v>Sum of RiskScore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IP_Risk_Analysis!$A$4:$A$10</c:f>
              <c:strCache>
                <c:ptCount val="6"/>
                <c:pt idx="0">
                  <c:v>103.21.11.4</c:v>
                </c:pt>
                <c:pt idx="1">
                  <c:v>105.22.33.2</c:v>
                </c:pt>
                <c:pt idx="2">
                  <c:v>203.88.9.1</c:v>
                </c:pt>
                <c:pt idx="3">
                  <c:v>45.66.77.10</c:v>
                </c:pt>
                <c:pt idx="4">
                  <c:v>82.45.12.9</c:v>
                </c:pt>
                <c:pt idx="5">
                  <c:v>91.33.55.12</c:v>
                </c:pt>
              </c:strCache>
            </c:strRef>
          </c:cat>
          <c:val>
            <c:numRef>
              <c:f>IP_Risk_Analysis!$B$4:$B$10</c:f>
              <c:numCache>
                <c:formatCode>General</c:formatCode>
                <c:ptCount val="6"/>
                <c:pt idx="0">
                  <c:v>12</c:v>
                </c:pt>
                <c:pt idx="1">
                  <c:v>6</c:v>
                </c:pt>
                <c:pt idx="2">
                  <c:v>14</c:v>
                </c:pt>
                <c:pt idx="3">
                  <c:v>36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8-4D08-B031-02862C474831}"/>
            </c:ext>
          </c:extLst>
        </c:ser>
        <c:ser>
          <c:idx val="1"/>
          <c:order val="1"/>
          <c:tx>
            <c:strRef>
              <c:f>IP_Risk_Analysis!$C$3</c:f>
              <c:strCache>
                <c:ptCount val="1"/>
                <c:pt idx="0">
                  <c:v>Count of TransactionID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IP_Risk_Analysis!$A$4:$A$10</c:f>
              <c:strCache>
                <c:ptCount val="6"/>
                <c:pt idx="0">
                  <c:v>103.21.11.4</c:v>
                </c:pt>
                <c:pt idx="1">
                  <c:v>105.22.33.2</c:v>
                </c:pt>
                <c:pt idx="2">
                  <c:v>203.88.9.1</c:v>
                </c:pt>
                <c:pt idx="3">
                  <c:v>45.66.77.10</c:v>
                </c:pt>
                <c:pt idx="4">
                  <c:v>82.45.12.9</c:v>
                </c:pt>
                <c:pt idx="5">
                  <c:v>91.33.55.12</c:v>
                </c:pt>
              </c:strCache>
            </c:strRef>
          </c:cat>
          <c:val>
            <c:numRef>
              <c:f>IP_Risk_Analysis!$C$4:$C$10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8-4D08-B031-02862C474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9340672"/>
        <c:axId val="1499345664"/>
      </c:barChart>
      <c:catAx>
        <c:axId val="149934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45664"/>
        <c:crosses val="autoZero"/>
        <c:auto val="1"/>
        <c:lblAlgn val="ctr"/>
        <c:lblOffset val="100"/>
        <c:noMultiLvlLbl val="0"/>
      </c:catAx>
      <c:valAx>
        <c:axId val="149934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[transaction.xlsx]Customer_Risk_Analysis!PivotTable3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Customer_Risk_Analysis!$B$3</c:f>
              <c:strCache>
                <c:ptCount val="1"/>
                <c:pt idx="0">
                  <c:v>Sum of RiskScore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Customer_Risk_Analysis!$A$4:$A$21</c:f>
              <c:strCache>
                <c:ptCount val="17"/>
                <c:pt idx="0">
                  <c:v>C1001</c:v>
                </c:pt>
                <c:pt idx="1">
                  <c:v>C1002</c:v>
                </c:pt>
                <c:pt idx="2">
                  <c:v>C1003</c:v>
                </c:pt>
                <c:pt idx="3">
                  <c:v>C1004</c:v>
                </c:pt>
                <c:pt idx="4">
                  <c:v>C1005</c:v>
                </c:pt>
                <c:pt idx="5">
                  <c:v>C1006</c:v>
                </c:pt>
                <c:pt idx="6">
                  <c:v>C1007</c:v>
                </c:pt>
                <c:pt idx="7">
                  <c:v>C1008</c:v>
                </c:pt>
                <c:pt idx="8">
                  <c:v>C1009</c:v>
                </c:pt>
                <c:pt idx="9">
                  <c:v>C1010</c:v>
                </c:pt>
                <c:pt idx="10">
                  <c:v>C1011</c:v>
                </c:pt>
                <c:pt idx="11">
                  <c:v>C1012</c:v>
                </c:pt>
                <c:pt idx="12">
                  <c:v>C1013</c:v>
                </c:pt>
                <c:pt idx="13">
                  <c:v>C1014</c:v>
                </c:pt>
                <c:pt idx="14">
                  <c:v>C1015</c:v>
                </c:pt>
                <c:pt idx="15">
                  <c:v>C1016</c:v>
                </c:pt>
                <c:pt idx="16">
                  <c:v>C1017</c:v>
                </c:pt>
              </c:strCache>
            </c:strRef>
          </c:cat>
          <c:val>
            <c:numRef>
              <c:f>Customer_Risk_Analysis!$B$4:$B$21</c:f>
              <c:numCache>
                <c:formatCode>General</c:formatCode>
                <c:ptCount val="17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2</c:v>
                </c:pt>
                <c:pt idx="6">
                  <c:v>8</c:v>
                </c:pt>
                <c:pt idx="7">
                  <c:v>7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7</c:v>
                </c:pt>
                <c:pt idx="12">
                  <c:v>4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D-4787-BE19-AC8416E38EDE}"/>
            </c:ext>
          </c:extLst>
        </c:ser>
        <c:ser>
          <c:idx val="1"/>
          <c:order val="1"/>
          <c:tx>
            <c:strRef>
              <c:f>Customer_Risk_Analysis!$C$3</c:f>
              <c:strCache>
                <c:ptCount val="1"/>
                <c:pt idx="0">
                  <c:v>Count of TransactionID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Customer_Risk_Analysis!$A$4:$A$21</c:f>
              <c:strCache>
                <c:ptCount val="17"/>
                <c:pt idx="0">
                  <c:v>C1001</c:v>
                </c:pt>
                <c:pt idx="1">
                  <c:v>C1002</c:v>
                </c:pt>
                <c:pt idx="2">
                  <c:v>C1003</c:v>
                </c:pt>
                <c:pt idx="3">
                  <c:v>C1004</c:v>
                </c:pt>
                <c:pt idx="4">
                  <c:v>C1005</c:v>
                </c:pt>
                <c:pt idx="5">
                  <c:v>C1006</c:v>
                </c:pt>
                <c:pt idx="6">
                  <c:v>C1007</c:v>
                </c:pt>
                <c:pt idx="7">
                  <c:v>C1008</c:v>
                </c:pt>
                <c:pt idx="8">
                  <c:v>C1009</c:v>
                </c:pt>
                <c:pt idx="9">
                  <c:v>C1010</c:v>
                </c:pt>
                <c:pt idx="10">
                  <c:v>C1011</c:v>
                </c:pt>
                <c:pt idx="11">
                  <c:v>C1012</c:v>
                </c:pt>
                <c:pt idx="12">
                  <c:v>C1013</c:v>
                </c:pt>
                <c:pt idx="13">
                  <c:v>C1014</c:v>
                </c:pt>
                <c:pt idx="14">
                  <c:v>C1015</c:v>
                </c:pt>
                <c:pt idx="15">
                  <c:v>C1016</c:v>
                </c:pt>
                <c:pt idx="16">
                  <c:v>C1017</c:v>
                </c:pt>
              </c:strCache>
            </c:strRef>
          </c:cat>
          <c:val>
            <c:numRef>
              <c:f>Customer_Risk_Analysis!$C$4:$C$21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D-4787-BE19-AC8416E38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9342336"/>
        <c:axId val="1499348160"/>
      </c:barChart>
      <c:catAx>
        <c:axId val="1499342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48160"/>
        <c:crosses val="autoZero"/>
        <c:auto val="1"/>
        <c:lblAlgn val="ctr"/>
        <c:lblOffset val="100"/>
        <c:noMultiLvlLbl val="0"/>
      </c:catAx>
      <c:valAx>
        <c:axId val="149934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4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</xdr:row>
      <xdr:rowOff>180975</xdr:rowOff>
    </xdr:from>
    <xdr:to>
      <xdr:col>9</xdr:col>
      <xdr:colOff>314325</xdr:colOff>
      <xdr:row>14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171450</xdr:rowOff>
    </xdr:from>
    <xdr:to>
      <xdr:col>9</xdr:col>
      <xdr:colOff>600075</xdr:colOff>
      <xdr:row>14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152400</xdr:rowOff>
    </xdr:from>
    <xdr:to>
      <xdr:col>9</xdr:col>
      <xdr:colOff>504825</xdr:colOff>
      <xdr:row>20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riGin" refreshedDate="45994.824028819443" createdVersion="6" refreshedVersion="6" minRefreshableVersion="3" recordCount="20">
  <cacheSource type="worksheet">
    <worksheetSource ref="A1:R21" sheet="Transaction_Data"/>
  </cacheSource>
  <cacheFields count="18">
    <cacheField name="TransactionID" numFmtId="0">
      <sharedItems/>
    </cacheField>
    <cacheField name="Date" numFmtId="14">
      <sharedItems containsSemiMixedTypes="0" containsNonDate="0" containsDate="1" containsString="0" minDate="2025-06-01T00:00:00" maxDate="2025-06-04T00:00:00"/>
    </cacheField>
    <cacheField name="Time" numFmtId="21">
      <sharedItems containsSemiMixedTypes="0" containsNonDate="0" containsDate="1" containsString="0" minDate="1899-12-30T02:00:00" maxDate="1899-12-30T20:01:00"/>
    </cacheField>
    <cacheField name="CustomerID" numFmtId="0">
      <sharedItems count="17">
        <s v="C1001"/>
        <s v="C1002"/>
        <s v="C1003"/>
        <s v="C1004"/>
        <s v="C1005"/>
        <s v="C1006"/>
        <s v="C1007"/>
        <s v="C1008"/>
        <s v="C1009"/>
        <s v="C1010"/>
        <s v="C1011"/>
        <s v="C1012"/>
        <s v="C1013"/>
        <s v="C1014"/>
        <s v="C1015"/>
        <s v="C1016"/>
        <s v="C1017"/>
      </sharedItems>
    </cacheField>
    <cacheField name="Amount" numFmtId="0">
      <sharedItems containsSemiMixedTypes="0" containsString="0" containsNumber="1" containsInteger="1" minValue="50" maxValue="1000000"/>
    </cacheField>
    <cacheField name="Merchant" numFmtId="0">
      <sharedItems/>
    </cacheField>
    <cacheField name="Country" numFmtId="0">
      <sharedItems count="3">
        <s v="India"/>
        <s v="UK"/>
        <s v="France"/>
      </sharedItems>
    </cacheField>
    <cacheField name="CardPresent" numFmtId="0">
      <sharedItems/>
    </cacheField>
    <cacheField name="AuthResult" numFmtId="0">
      <sharedItems/>
    </cacheField>
    <cacheField name="IP" numFmtId="0">
      <sharedItems count="6">
        <s v="103.21.11.4"/>
        <s v="45.66.77.10"/>
        <s v="82.45.12.9"/>
        <s v="203.88.9.1"/>
        <s v="105.22.33.2"/>
        <s v="91.33.55.12"/>
      </sharedItems>
    </cacheField>
    <cacheField name="Device" numFmtId="0">
      <sharedItems/>
    </cacheField>
    <cacheField name="HighAmountFlag" numFmtId="0">
      <sharedItems containsSemiMixedTypes="0" containsString="0" containsNumber="1" containsInteger="1" minValue="0" maxValue="1"/>
    </cacheField>
    <cacheField name="ForeignFlag" numFmtId="0">
      <sharedItems containsSemiMixedTypes="0" containsString="0" containsNumber="1" containsInteger="1" minValue="0" maxValue="1"/>
    </cacheField>
    <cacheField name="CardNotPresentFlag" numFmtId="0">
      <sharedItems containsSemiMixedTypes="0" containsString="0" containsNumber="1" containsInteger="1" minValue="0" maxValue="1"/>
    </cacheField>
    <cacheField name="RepeatIPFlag" numFmtId="0">
      <sharedItems containsSemiMixedTypes="0" containsString="0" containsNumber="1" containsInteger="1" minValue="0" maxValue="1"/>
    </cacheField>
    <cacheField name="RiskScore" numFmtId="0">
      <sharedItems containsSemiMixedTypes="0" containsString="0" containsNumber="1" containsInteger="1" minValue="2" maxValue="7"/>
    </cacheField>
    <cacheField name="SuspicionSummary" numFmtId="0">
      <sharedItems/>
    </cacheField>
    <cacheField name="DeclineBeforeApprov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T0001"/>
    <d v="2025-06-01T00:00:00"/>
    <d v="1899-12-30T09:12:10"/>
    <x v="0"/>
    <n v="2500"/>
    <s v="MobileStore"/>
    <x v="0"/>
    <s v="Yes"/>
    <s v="Approved"/>
    <x v="0"/>
    <s v="Mobile"/>
    <n v="0"/>
    <n v="0"/>
    <n v="0"/>
    <n v="1"/>
    <n v="2"/>
    <s v="RepeatIP"/>
    <n v="0"/>
  </r>
  <r>
    <s v="T0002"/>
    <d v="2025-06-01T00:00:00"/>
    <d v="1899-12-30T09:15:34"/>
    <x v="1"/>
    <n v="48000"/>
    <s v="ElectroMax"/>
    <x v="0"/>
    <s v="No"/>
    <s v="Approved"/>
    <x v="1"/>
    <s v="Web"/>
    <n v="1"/>
    <n v="0"/>
    <n v="1"/>
    <n v="1"/>
    <n v="7"/>
    <s v="HighAmount CardNotPresent RepeatIP"/>
    <n v="0"/>
  </r>
  <r>
    <s v="T0003"/>
    <d v="2025-06-01T00:00:00"/>
    <d v="1899-12-30T10:01:02"/>
    <x v="2"/>
    <n v="1200"/>
    <s v="CafeCorner"/>
    <x v="0"/>
    <s v="Yes"/>
    <s v="Approved"/>
    <x v="0"/>
    <s v="POS"/>
    <n v="0"/>
    <n v="0"/>
    <n v="0"/>
    <n v="1"/>
    <n v="2"/>
    <s v="RepeatIP"/>
    <n v="0"/>
  </r>
  <r>
    <s v="T0004"/>
    <d v="2025-06-01T00:00:00"/>
    <d v="1899-12-30T10:05:15"/>
    <x v="3"/>
    <n v="15000"/>
    <s v="TravelGo"/>
    <x v="1"/>
    <s v="No"/>
    <s v="Declined"/>
    <x v="2"/>
    <s v="Web"/>
    <n v="0"/>
    <n v="1"/>
    <n v="1"/>
    <n v="0"/>
    <n v="4"/>
    <s v="Foreign CardNotPresent"/>
    <n v="0"/>
  </r>
  <r>
    <s v="T0005"/>
    <d v="2025-06-01T00:00:00"/>
    <d v="1899-12-30T10:06:20"/>
    <x v="3"/>
    <n v="15000"/>
    <s v="TravelGo"/>
    <x v="1"/>
    <s v="No"/>
    <s v="Approved"/>
    <x v="2"/>
    <s v="Web"/>
    <n v="0"/>
    <n v="1"/>
    <n v="1"/>
    <n v="0"/>
    <n v="4"/>
    <s v="Foreign CardNotPresent"/>
    <n v="1"/>
  </r>
  <r>
    <s v="T0006"/>
    <d v="2025-06-01T00:00:00"/>
    <d v="1899-12-30T11:20:00"/>
    <x v="4"/>
    <n v="500000"/>
    <s v="JewelsWorld"/>
    <x v="0"/>
    <s v="No"/>
    <s v="Approved"/>
    <x v="3"/>
    <s v="Web"/>
    <n v="1"/>
    <n v="0"/>
    <n v="1"/>
    <n v="1"/>
    <n v="7"/>
    <s v="HighAmount CardNotPresent RepeatIP"/>
    <n v="0"/>
  </r>
  <r>
    <s v="T0007"/>
    <d v="2025-06-01T00:00:00"/>
    <d v="1899-12-30T11:25:12"/>
    <x v="5"/>
    <n v="3000"/>
    <s v="Grocer"/>
    <x v="0"/>
    <s v="Yes"/>
    <s v="Approved"/>
    <x v="4"/>
    <s v="POS"/>
    <n v="0"/>
    <n v="0"/>
    <n v="0"/>
    <n v="1"/>
    <n v="2"/>
    <s v="RepeatIP"/>
    <n v="0"/>
  </r>
  <r>
    <s v="T0008"/>
    <d v="2025-06-01T00:00:00"/>
    <d v="1899-12-30T12:00:00"/>
    <x v="6"/>
    <n v="9999"/>
    <s v="ElectroMax"/>
    <x v="0"/>
    <s v="No"/>
    <s v="Declined"/>
    <x v="1"/>
    <s v="Web"/>
    <n v="0"/>
    <n v="0"/>
    <n v="1"/>
    <n v="1"/>
    <n v="4"/>
    <s v="CardNotPresent RepeatIP"/>
    <n v="0"/>
  </r>
  <r>
    <s v="T0009"/>
    <d v="2025-06-01T00:00:00"/>
    <d v="1899-12-30T12:05:45"/>
    <x v="6"/>
    <n v="9999"/>
    <s v="ElectroMax"/>
    <x v="0"/>
    <s v="No"/>
    <s v="Approved"/>
    <x v="1"/>
    <s v="Web"/>
    <n v="0"/>
    <n v="0"/>
    <n v="1"/>
    <n v="1"/>
    <n v="4"/>
    <s v="CardNotPresent RepeatIP"/>
    <n v="1"/>
  </r>
  <r>
    <s v="T0010"/>
    <d v="2025-06-01T00:00:00"/>
    <d v="1899-12-30T13:10:00"/>
    <x v="7"/>
    <n v="200000"/>
    <s v="Antiques"/>
    <x v="2"/>
    <s v="No"/>
    <s v="Approved"/>
    <x v="5"/>
    <s v="Web"/>
    <n v="1"/>
    <n v="1"/>
    <n v="1"/>
    <n v="0"/>
    <n v="7"/>
    <s v="HighAmount Foreign CardNotPresent"/>
    <n v="0"/>
  </r>
  <r>
    <s v="T0011"/>
    <d v="2025-06-02T00:00:00"/>
    <d v="1899-12-30T09:00:00"/>
    <x v="8"/>
    <n v="1500"/>
    <s v="Pharma"/>
    <x v="0"/>
    <s v="Yes"/>
    <s v="Approved"/>
    <x v="0"/>
    <s v="Mobile"/>
    <n v="0"/>
    <n v="0"/>
    <n v="0"/>
    <n v="1"/>
    <n v="2"/>
    <s v="RepeatIP"/>
    <n v="0"/>
  </r>
  <r>
    <s v="T0012"/>
    <d v="2025-06-02T00:00:00"/>
    <d v="1899-12-30T09:05:10"/>
    <x v="9"/>
    <n v="50"/>
    <s v="MobileTopup"/>
    <x v="0"/>
    <s v="Yes"/>
    <s v="Approved"/>
    <x v="0"/>
    <s v="Mobile"/>
    <n v="0"/>
    <n v="0"/>
    <n v="0"/>
    <n v="1"/>
    <n v="2"/>
    <s v="RepeatIP"/>
    <n v="0"/>
  </r>
  <r>
    <s v="T0013"/>
    <d v="2025-06-02T00:00:00"/>
    <d v="1899-12-30T09:06:10"/>
    <x v="10"/>
    <n v="50"/>
    <s v="MobileTopup"/>
    <x v="0"/>
    <s v="Yes"/>
    <s v="Approved"/>
    <x v="0"/>
    <s v="Mobile"/>
    <n v="0"/>
    <n v="0"/>
    <n v="0"/>
    <n v="1"/>
    <n v="2"/>
    <s v="RepeatIP"/>
    <n v="0"/>
  </r>
  <r>
    <s v="T0014"/>
    <d v="2025-06-02T00:00:00"/>
    <d v="1899-12-30T19:50:00"/>
    <x v="11"/>
    <n v="1000000"/>
    <s v="DiamondHub"/>
    <x v="0"/>
    <s v="No"/>
    <s v="Approved"/>
    <x v="3"/>
    <s v="Web"/>
    <n v="1"/>
    <n v="0"/>
    <n v="1"/>
    <n v="1"/>
    <n v="7"/>
    <s v="HighAmount CardNotPresent RepeatIP"/>
    <n v="0"/>
  </r>
  <r>
    <s v="T0015"/>
    <d v="2025-06-02T00:00:00"/>
    <d v="1899-12-30T20:00:10"/>
    <x v="12"/>
    <n v="60"/>
    <s v="CafeCorner"/>
    <x v="0"/>
    <s v="Yes"/>
    <s v="Approved"/>
    <x v="4"/>
    <s v="POS"/>
    <n v="0"/>
    <n v="0"/>
    <n v="0"/>
    <n v="1"/>
    <n v="2"/>
    <s v="RepeatIP"/>
    <n v="0"/>
  </r>
  <r>
    <s v="T0016"/>
    <d v="2025-06-02T00:00:00"/>
    <d v="1899-12-30T20:01:00"/>
    <x v="12"/>
    <n v="61"/>
    <s v="CafeCorner"/>
    <x v="0"/>
    <s v="Yes"/>
    <s v="Approved"/>
    <x v="4"/>
    <s v="POS"/>
    <n v="0"/>
    <n v="0"/>
    <n v="0"/>
    <n v="1"/>
    <n v="2"/>
    <s v="RepeatIP"/>
    <n v="0"/>
  </r>
  <r>
    <s v="T0017"/>
    <d v="2025-06-03T00:00:00"/>
    <d v="1899-12-30T02:00:00"/>
    <x v="13"/>
    <n v="45000"/>
    <s v="ElectroMax"/>
    <x v="0"/>
    <s v="No"/>
    <s v="Approved"/>
    <x v="1"/>
    <s v="Web"/>
    <n v="1"/>
    <n v="0"/>
    <n v="1"/>
    <n v="1"/>
    <n v="7"/>
    <s v="HighAmount CardNotPresent RepeatIP"/>
    <n v="0"/>
  </r>
  <r>
    <s v="T0018"/>
    <d v="2025-06-03T00:00:00"/>
    <d v="1899-12-30T02:00:05"/>
    <x v="14"/>
    <n v="45000"/>
    <s v="ElectroMax"/>
    <x v="0"/>
    <s v="No"/>
    <s v="Approved"/>
    <x v="1"/>
    <s v="Web"/>
    <n v="1"/>
    <n v="0"/>
    <n v="1"/>
    <n v="1"/>
    <n v="7"/>
    <s v="HighAmount CardNotPresent RepeatIP"/>
    <n v="0"/>
  </r>
  <r>
    <s v="T0019"/>
    <d v="2025-06-03T00:00:00"/>
    <d v="1899-12-30T02:00:10"/>
    <x v="15"/>
    <n v="45000"/>
    <s v="ElectroMax"/>
    <x v="0"/>
    <s v="No"/>
    <s v="Approved"/>
    <x v="1"/>
    <s v="Web"/>
    <n v="1"/>
    <n v="0"/>
    <n v="1"/>
    <n v="1"/>
    <n v="7"/>
    <s v="HighAmount CardNotPresent RepeatIP"/>
    <n v="0"/>
  </r>
  <r>
    <s v="T0020"/>
    <d v="2025-06-03T00:00:00"/>
    <d v="1899-12-30T08:30:00"/>
    <x v="16"/>
    <n v="250"/>
    <s v="BookStore"/>
    <x v="0"/>
    <s v="Yes"/>
    <s v="Approved"/>
    <x v="0"/>
    <s v="POS"/>
    <n v="0"/>
    <n v="0"/>
    <n v="0"/>
    <n v="1"/>
    <n v="2"/>
    <s v="RepeatIP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7" firstHeaderRow="0" firstDataRow="1" firstDataCol="1"/>
  <pivotFields count="18">
    <pivotField dataField="1" showAll="0"/>
    <pivotField numFmtId="14" showAll="0"/>
    <pivotField numFmtId="21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iskScore" fld="15" baseField="0" baseItem="0"/>
    <dataField name="Count of Transaction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10" firstHeaderRow="0" firstDataRow="1" firstDataCol="1"/>
  <pivotFields count="18">
    <pivotField dataField="1" showAll="0"/>
    <pivotField numFmtId="14" showAll="0"/>
    <pivotField numFmtId="2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3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iskScore" fld="15" baseField="0" baseItem="0"/>
    <dataField name="Count of TransactionID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21" firstHeaderRow="0" firstDataRow="1" firstDataCol="1"/>
  <pivotFields count="18">
    <pivotField dataField="1" showAll="0"/>
    <pivotField numFmtId="14" showAll="0"/>
    <pivotField numFmtId="21"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iskScore" fld="15" baseField="0" baseItem="0"/>
    <dataField name="Count of Transaction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E6" sqref="E6"/>
    </sheetView>
  </sheetViews>
  <sheetFormatPr defaultRowHeight="15" x14ac:dyDescent="0.25"/>
  <cols>
    <col min="1" max="1" width="107.7109375" customWidth="1"/>
    <col min="2" max="2" width="16.5703125" customWidth="1"/>
  </cols>
  <sheetData>
    <row r="1" spans="1:10" ht="18" x14ac:dyDescent="0.25">
      <c r="A1" s="10" t="s">
        <v>102</v>
      </c>
      <c r="D1" s="9"/>
      <c r="E1" s="9"/>
      <c r="J1" s="9"/>
    </row>
    <row r="3" spans="1:10" x14ac:dyDescent="0.25">
      <c r="A3" s="6" t="s">
        <v>101</v>
      </c>
    </row>
    <row r="4" spans="1:10" x14ac:dyDescent="0.25">
      <c r="A4" s="6"/>
    </row>
    <row r="6" spans="1:10" x14ac:dyDescent="0.25">
      <c r="A6" s="7" t="s">
        <v>86</v>
      </c>
    </row>
    <row r="7" spans="1:10" x14ac:dyDescent="0.25">
      <c r="A7" t="s">
        <v>87</v>
      </c>
    </row>
    <row r="9" spans="1:10" x14ac:dyDescent="0.25">
      <c r="A9" s="7" t="s">
        <v>88</v>
      </c>
    </row>
    <row r="10" spans="1:10" x14ac:dyDescent="0.25">
      <c r="A10" s="8"/>
    </row>
    <row r="11" spans="1:10" x14ac:dyDescent="0.25">
      <c r="A11" s="8" t="s">
        <v>89</v>
      </c>
    </row>
    <row r="12" spans="1:10" x14ac:dyDescent="0.25">
      <c r="A12" s="8"/>
    </row>
    <row r="13" spans="1:10" x14ac:dyDescent="0.25">
      <c r="A13" s="8" t="s">
        <v>90</v>
      </c>
    </row>
    <row r="14" spans="1:10" x14ac:dyDescent="0.25">
      <c r="A14" s="8"/>
    </row>
    <row r="15" spans="1:10" x14ac:dyDescent="0.25">
      <c r="A15" s="8" t="s">
        <v>91</v>
      </c>
    </row>
    <row r="16" spans="1:10" x14ac:dyDescent="0.25">
      <c r="A16" s="8"/>
    </row>
    <row r="17" spans="1:1" x14ac:dyDescent="0.25">
      <c r="A17" s="8" t="s">
        <v>92</v>
      </c>
    </row>
    <row r="18" spans="1:1" x14ac:dyDescent="0.25">
      <c r="A18" s="8"/>
    </row>
    <row r="19" spans="1:1" x14ac:dyDescent="0.25">
      <c r="A19" s="8" t="s">
        <v>93</v>
      </c>
    </row>
    <row r="20" spans="1:1" x14ac:dyDescent="0.25">
      <c r="A20" s="8"/>
    </row>
    <row r="21" spans="1:1" x14ac:dyDescent="0.25">
      <c r="A21" s="8" t="s">
        <v>94</v>
      </c>
    </row>
    <row r="22" spans="1:1" x14ac:dyDescent="0.25">
      <c r="A22" s="8"/>
    </row>
    <row r="23" spans="1:1" x14ac:dyDescent="0.25">
      <c r="A23" s="8" t="s">
        <v>95</v>
      </c>
    </row>
    <row r="25" spans="1:1" x14ac:dyDescent="0.25">
      <c r="A25" s="7" t="s">
        <v>96</v>
      </c>
    </row>
    <row r="26" spans="1:1" x14ac:dyDescent="0.25">
      <c r="A26" s="8"/>
    </row>
    <row r="27" spans="1:1" x14ac:dyDescent="0.25">
      <c r="A27" s="8" t="s">
        <v>97</v>
      </c>
    </row>
    <row r="28" spans="1:1" x14ac:dyDescent="0.25">
      <c r="A28" s="8"/>
    </row>
    <row r="29" spans="1:1" x14ac:dyDescent="0.25">
      <c r="A29" s="8" t="s">
        <v>98</v>
      </c>
    </row>
    <row r="30" spans="1:1" x14ac:dyDescent="0.25">
      <c r="A30" s="8"/>
    </row>
    <row r="31" spans="1:1" x14ac:dyDescent="0.25">
      <c r="A31" s="8" t="s">
        <v>99</v>
      </c>
    </row>
    <row r="32" spans="1:1" x14ac:dyDescent="0.25">
      <c r="A32" s="8"/>
    </row>
    <row r="33" spans="1:1" x14ac:dyDescent="0.25">
      <c r="A33" s="8" t="s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A2" sqref="A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</row>
    <row r="2" spans="1:18" x14ac:dyDescent="0.25">
      <c r="A2" t="s">
        <v>11</v>
      </c>
      <c r="B2" s="1">
        <v>45809</v>
      </c>
      <c r="C2" s="2">
        <v>0.38344907407407408</v>
      </c>
      <c r="D2" t="s">
        <v>12</v>
      </c>
      <c r="E2">
        <v>2500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f>IF(E2&gt;40000,1,0)</f>
        <v>0</v>
      </c>
      <c r="M2">
        <f>IF(G2&lt;&gt;"India",1,0)</f>
        <v>0</v>
      </c>
      <c r="N2">
        <f>IF(H2="No",1,0)</f>
        <v>0</v>
      </c>
      <c r="O2">
        <f>IF(COUNTIFS($J:$J,$J2,$D:$D,"&lt;&gt;"&amp;$D2)&gt;0,1,0)</f>
        <v>1</v>
      </c>
      <c r="P2">
        <f>L2*3 + M2*2 + N2*2 + O2*2</f>
        <v>2</v>
      </c>
      <c r="Q2" t="str">
        <f>TRIM(IF(L2=1,"HighAmount ","") &amp; IF(M2=1,"Foreign ","") &amp; IF(N2=1,"CardNotPresent ","") &amp; IF(O2=1,"RepeatIP ",""))</f>
        <v>RepeatIP</v>
      </c>
      <c r="R2">
        <f>IF(AND(COUNTIFS($D:$D,$D2,$I:$I,"Declined")&gt;0,$I2="Approved"),1,0)</f>
        <v>0</v>
      </c>
    </row>
    <row r="3" spans="1:18" x14ac:dyDescent="0.25">
      <c r="A3" t="s">
        <v>19</v>
      </c>
      <c r="B3" s="1">
        <v>45809</v>
      </c>
      <c r="C3" s="2">
        <v>0.38581018518518517</v>
      </c>
      <c r="D3" t="s">
        <v>20</v>
      </c>
      <c r="E3">
        <v>48000</v>
      </c>
      <c r="F3" t="s">
        <v>21</v>
      </c>
      <c r="G3" t="s">
        <v>14</v>
      </c>
      <c r="H3" t="s">
        <v>22</v>
      </c>
      <c r="I3" t="s">
        <v>16</v>
      </c>
      <c r="J3" t="s">
        <v>23</v>
      </c>
      <c r="K3" t="s">
        <v>24</v>
      </c>
      <c r="L3">
        <f t="shared" ref="L3:L21" si="0">IF(E3&gt;40000,1,0)</f>
        <v>1</v>
      </c>
      <c r="M3">
        <f t="shared" ref="M3:M21" si="1">IF(G3&lt;&gt;"India",1,0)</f>
        <v>0</v>
      </c>
      <c r="N3">
        <f t="shared" ref="N3:N21" si="2">IF(H3="No",1,0)</f>
        <v>1</v>
      </c>
      <c r="O3">
        <f t="shared" ref="O3:O21" si="3">IF(COUNTIFS($J:$J,$J3,$D:$D,"&lt;&gt;"&amp;$D3)&gt;0,1,0)</f>
        <v>1</v>
      </c>
      <c r="P3">
        <f t="shared" ref="P3:P21" si="4">L3*3 + M3*2 + N3*2 + O3*2</f>
        <v>7</v>
      </c>
      <c r="Q3" t="str">
        <f t="shared" ref="Q3:Q21" si="5">TRIM(IF(L3=1,"HighAmount ","") &amp; IF(M3=1,"Foreign ","") &amp; IF(N3=1,"CardNotPresent ","") &amp; IF(O3=1,"RepeatIP ",""))</f>
        <v>HighAmount CardNotPresent RepeatIP</v>
      </c>
      <c r="R3">
        <f t="shared" ref="R3:R21" si="6">IF(AND(COUNTIFS($D:$D,$D3,$I:$I,"Declined")&gt;0,$I3="Approved"),1,0)</f>
        <v>0</v>
      </c>
    </row>
    <row r="4" spans="1:18" x14ac:dyDescent="0.25">
      <c r="A4" t="s">
        <v>25</v>
      </c>
      <c r="B4" s="1">
        <v>45809</v>
      </c>
      <c r="C4" s="2">
        <v>0.4173842592592592</v>
      </c>
      <c r="D4" t="s">
        <v>26</v>
      </c>
      <c r="E4">
        <v>1200</v>
      </c>
      <c r="F4" t="s">
        <v>27</v>
      </c>
      <c r="G4" t="s">
        <v>14</v>
      </c>
      <c r="H4" t="s">
        <v>15</v>
      </c>
      <c r="I4" t="s">
        <v>16</v>
      </c>
      <c r="J4" t="s">
        <v>17</v>
      </c>
      <c r="K4" t="s">
        <v>28</v>
      </c>
      <c r="L4">
        <f t="shared" si="0"/>
        <v>0</v>
      </c>
      <c r="M4">
        <f t="shared" si="1"/>
        <v>0</v>
      </c>
      <c r="N4">
        <f t="shared" si="2"/>
        <v>0</v>
      </c>
      <c r="O4">
        <f t="shared" si="3"/>
        <v>1</v>
      </c>
      <c r="P4">
        <f t="shared" si="4"/>
        <v>2</v>
      </c>
      <c r="Q4" t="str">
        <f t="shared" si="5"/>
        <v>RepeatIP</v>
      </c>
      <c r="R4">
        <f t="shared" si="6"/>
        <v>0</v>
      </c>
    </row>
    <row r="5" spans="1:18" x14ac:dyDescent="0.25">
      <c r="A5" t="s">
        <v>29</v>
      </c>
      <c r="B5" s="1">
        <v>45809</v>
      </c>
      <c r="C5" s="2">
        <v>0.42031250000000003</v>
      </c>
      <c r="D5" t="s">
        <v>30</v>
      </c>
      <c r="E5">
        <v>15000</v>
      </c>
      <c r="F5" t="s">
        <v>31</v>
      </c>
      <c r="G5" t="s">
        <v>32</v>
      </c>
      <c r="H5" t="s">
        <v>22</v>
      </c>
      <c r="I5" t="s">
        <v>33</v>
      </c>
      <c r="J5" t="s">
        <v>34</v>
      </c>
      <c r="K5" t="s">
        <v>24</v>
      </c>
      <c r="L5">
        <f t="shared" si="0"/>
        <v>0</v>
      </c>
      <c r="M5">
        <f t="shared" si="1"/>
        <v>1</v>
      </c>
      <c r="N5">
        <f t="shared" si="2"/>
        <v>1</v>
      </c>
      <c r="O5">
        <f t="shared" si="3"/>
        <v>0</v>
      </c>
      <c r="P5">
        <f t="shared" si="4"/>
        <v>4</v>
      </c>
      <c r="Q5" t="str">
        <f t="shared" si="5"/>
        <v>Foreign CardNotPresent</v>
      </c>
      <c r="R5">
        <f t="shared" si="6"/>
        <v>0</v>
      </c>
    </row>
    <row r="6" spans="1:18" x14ac:dyDescent="0.25">
      <c r="A6" t="s">
        <v>35</v>
      </c>
      <c r="B6" s="1">
        <v>45809</v>
      </c>
      <c r="C6" s="2">
        <v>0.42106481481481484</v>
      </c>
      <c r="D6" t="s">
        <v>30</v>
      </c>
      <c r="E6">
        <v>15000</v>
      </c>
      <c r="F6" t="s">
        <v>31</v>
      </c>
      <c r="G6" t="s">
        <v>32</v>
      </c>
      <c r="H6" t="s">
        <v>22</v>
      </c>
      <c r="I6" t="s">
        <v>16</v>
      </c>
      <c r="J6" t="s">
        <v>34</v>
      </c>
      <c r="K6" t="s">
        <v>24</v>
      </c>
      <c r="L6">
        <f t="shared" si="0"/>
        <v>0</v>
      </c>
      <c r="M6">
        <f t="shared" si="1"/>
        <v>1</v>
      </c>
      <c r="N6">
        <f t="shared" si="2"/>
        <v>1</v>
      </c>
      <c r="O6">
        <f t="shared" si="3"/>
        <v>0</v>
      </c>
      <c r="P6">
        <f t="shared" si="4"/>
        <v>4</v>
      </c>
      <c r="Q6" t="str">
        <f t="shared" si="5"/>
        <v>Foreign CardNotPresent</v>
      </c>
      <c r="R6">
        <f t="shared" si="6"/>
        <v>1</v>
      </c>
    </row>
    <row r="7" spans="1:18" x14ac:dyDescent="0.25">
      <c r="A7" t="s">
        <v>36</v>
      </c>
      <c r="B7" s="1">
        <v>45809</v>
      </c>
      <c r="C7" s="2">
        <v>0.47222222222222227</v>
      </c>
      <c r="D7" t="s">
        <v>37</v>
      </c>
      <c r="E7">
        <v>500000</v>
      </c>
      <c r="F7" t="s">
        <v>38</v>
      </c>
      <c r="G7" t="s">
        <v>14</v>
      </c>
      <c r="H7" t="s">
        <v>22</v>
      </c>
      <c r="I7" t="s">
        <v>16</v>
      </c>
      <c r="J7" t="s">
        <v>39</v>
      </c>
      <c r="K7" t="s">
        <v>24</v>
      </c>
      <c r="L7">
        <f t="shared" si="0"/>
        <v>1</v>
      </c>
      <c r="M7">
        <f t="shared" si="1"/>
        <v>0</v>
      </c>
      <c r="N7">
        <f t="shared" si="2"/>
        <v>1</v>
      </c>
      <c r="O7">
        <f t="shared" si="3"/>
        <v>1</v>
      </c>
      <c r="P7">
        <f t="shared" si="4"/>
        <v>7</v>
      </c>
      <c r="Q7" t="str">
        <f t="shared" si="5"/>
        <v>HighAmount CardNotPresent RepeatIP</v>
      </c>
      <c r="R7">
        <f t="shared" si="6"/>
        <v>0</v>
      </c>
    </row>
    <row r="8" spans="1:18" x14ac:dyDescent="0.25">
      <c r="A8" t="s">
        <v>40</v>
      </c>
      <c r="B8" s="1">
        <v>45809</v>
      </c>
      <c r="C8" s="2">
        <v>0.47583333333333333</v>
      </c>
      <c r="D8" t="s">
        <v>41</v>
      </c>
      <c r="E8">
        <v>3000</v>
      </c>
      <c r="F8" t="s">
        <v>42</v>
      </c>
      <c r="G8" t="s">
        <v>14</v>
      </c>
      <c r="H8" t="s">
        <v>15</v>
      </c>
      <c r="I8" t="s">
        <v>16</v>
      </c>
      <c r="J8" t="s">
        <v>43</v>
      </c>
      <c r="K8" t="s">
        <v>28</v>
      </c>
      <c r="L8">
        <f t="shared" si="0"/>
        <v>0</v>
      </c>
      <c r="M8">
        <f t="shared" si="1"/>
        <v>0</v>
      </c>
      <c r="N8">
        <f t="shared" si="2"/>
        <v>0</v>
      </c>
      <c r="O8">
        <f t="shared" si="3"/>
        <v>1</v>
      </c>
      <c r="P8">
        <f t="shared" si="4"/>
        <v>2</v>
      </c>
      <c r="Q8" t="str">
        <f t="shared" si="5"/>
        <v>RepeatIP</v>
      </c>
      <c r="R8">
        <f t="shared" si="6"/>
        <v>0</v>
      </c>
    </row>
    <row r="9" spans="1:18" x14ac:dyDescent="0.25">
      <c r="A9" t="s">
        <v>44</v>
      </c>
      <c r="B9" s="1">
        <v>45809</v>
      </c>
      <c r="C9" s="2">
        <v>0.5</v>
      </c>
      <c r="D9" t="s">
        <v>45</v>
      </c>
      <c r="E9">
        <v>9999</v>
      </c>
      <c r="F9" t="s">
        <v>21</v>
      </c>
      <c r="G9" t="s">
        <v>14</v>
      </c>
      <c r="H9" t="s">
        <v>22</v>
      </c>
      <c r="I9" t="s">
        <v>33</v>
      </c>
      <c r="J9" t="s">
        <v>23</v>
      </c>
      <c r="K9" t="s">
        <v>24</v>
      </c>
      <c r="L9">
        <f t="shared" si="0"/>
        <v>0</v>
      </c>
      <c r="M9">
        <f t="shared" si="1"/>
        <v>0</v>
      </c>
      <c r="N9">
        <f t="shared" si="2"/>
        <v>1</v>
      </c>
      <c r="O9">
        <f t="shared" si="3"/>
        <v>1</v>
      </c>
      <c r="P9">
        <f t="shared" si="4"/>
        <v>4</v>
      </c>
      <c r="Q9" t="str">
        <f t="shared" si="5"/>
        <v>CardNotPresent RepeatIP</v>
      </c>
      <c r="R9">
        <f t="shared" si="6"/>
        <v>0</v>
      </c>
    </row>
    <row r="10" spans="1:18" x14ac:dyDescent="0.25">
      <c r="A10" t="s">
        <v>46</v>
      </c>
      <c r="B10" s="1">
        <v>45809</v>
      </c>
      <c r="C10" s="2">
        <v>0.50399305555555551</v>
      </c>
      <c r="D10" t="s">
        <v>45</v>
      </c>
      <c r="E10">
        <v>9999</v>
      </c>
      <c r="F10" t="s">
        <v>21</v>
      </c>
      <c r="G10" t="s">
        <v>14</v>
      </c>
      <c r="H10" t="s">
        <v>22</v>
      </c>
      <c r="I10" t="s">
        <v>16</v>
      </c>
      <c r="J10" t="s">
        <v>23</v>
      </c>
      <c r="K10" t="s">
        <v>24</v>
      </c>
      <c r="L10">
        <f t="shared" si="0"/>
        <v>0</v>
      </c>
      <c r="M10">
        <f t="shared" si="1"/>
        <v>0</v>
      </c>
      <c r="N10">
        <f t="shared" si="2"/>
        <v>1</v>
      </c>
      <c r="O10">
        <f t="shared" si="3"/>
        <v>1</v>
      </c>
      <c r="P10">
        <f t="shared" si="4"/>
        <v>4</v>
      </c>
      <c r="Q10" t="str">
        <f t="shared" si="5"/>
        <v>CardNotPresent RepeatIP</v>
      </c>
      <c r="R10">
        <f t="shared" si="6"/>
        <v>1</v>
      </c>
    </row>
    <row r="11" spans="1:18" x14ac:dyDescent="0.25">
      <c r="A11" t="s">
        <v>47</v>
      </c>
      <c r="B11" s="1">
        <v>45809</v>
      </c>
      <c r="C11" s="2">
        <v>0.54861111111111105</v>
      </c>
      <c r="D11" t="s">
        <v>48</v>
      </c>
      <c r="E11">
        <v>200000</v>
      </c>
      <c r="F11" t="s">
        <v>49</v>
      </c>
      <c r="G11" t="s">
        <v>50</v>
      </c>
      <c r="H11" t="s">
        <v>22</v>
      </c>
      <c r="I11" t="s">
        <v>16</v>
      </c>
      <c r="J11" t="s">
        <v>51</v>
      </c>
      <c r="K11" t="s">
        <v>24</v>
      </c>
      <c r="L11">
        <f t="shared" si="0"/>
        <v>1</v>
      </c>
      <c r="M11">
        <f t="shared" si="1"/>
        <v>1</v>
      </c>
      <c r="N11">
        <f t="shared" si="2"/>
        <v>1</v>
      </c>
      <c r="O11">
        <f t="shared" si="3"/>
        <v>0</v>
      </c>
      <c r="P11">
        <f t="shared" si="4"/>
        <v>7</v>
      </c>
      <c r="Q11" t="str">
        <f t="shared" si="5"/>
        <v>HighAmount Foreign CardNotPresent</v>
      </c>
      <c r="R11">
        <f t="shared" si="6"/>
        <v>0</v>
      </c>
    </row>
    <row r="12" spans="1:18" x14ac:dyDescent="0.25">
      <c r="A12" t="s">
        <v>52</v>
      </c>
      <c r="B12" s="1">
        <v>45810</v>
      </c>
      <c r="C12" s="2">
        <v>0.375</v>
      </c>
      <c r="D12" t="s">
        <v>53</v>
      </c>
      <c r="E12">
        <v>1500</v>
      </c>
      <c r="F12" t="s">
        <v>54</v>
      </c>
      <c r="G12" t="s">
        <v>14</v>
      </c>
      <c r="H12" t="s">
        <v>15</v>
      </c>
      <c r="I12" t="s">
        <v>16</v>
      </c>
      <c r="J12" t="s">
        <v>17</v>
      </c>
      <c r="K12" t="s">
        <v>18</v>
      </c>
      <c r="L12">
        <f t="shared" si="0"/>
        <v>0</v>
      </c>
      <c r="M12">
        <f t="shared" si="1"/>
        <v>0</v>
      </c>
      <c r="N12">
        <f t="shared" si="2"/>
        <v>0</v>
      </c>
      <c r="O12">
        <f t="shared" si="3"/>
        <v>1</v>
      </c>
      <c r="P12">
        <f t="shared" si="4"/>
        <v>2</v>
      </c>
      <c r="Q12" t="str">
        <f t="shared" si="5"/>
        <v>RepeatIP</v>
      </c>
      <c r="R12">
        <f t="shared" si="6"/>
        <v>0</v>
      </c>
    </row>
    <row r="13" spans="1:18" x14ac:dyDescent="0.25">
      <c r="A13" t="s">
        <v>55</v>
      </c>
      <c r="B13" s="1">
        <v>45810</v>
      </c>
      <c r="C13" s="2">
        <v>0.37858796296296293</v>
      </c>
      <c r="D13" t="s">
        <v>56</v>
      </c>
      <c r="E13">
        <v>50</v>
      </c>
      <c r="F13" t="s">
        <v>57</v>
      </c>
      <c r="G13" t="s">
        <v>14</v>
      </c>
      <c r="H13" t="s">
        <v>15</v>
      </c>
      <c r="I13" t="s">
        <v>16</v>
      </c>
      <c r="J13" t="s">
        <v>17</v>
      </c>
      <c r="K13" t="s">
        <v>18</v>
      </c>
      <c r="L13">
        <f t="shared" si="0"/>
        <v>0</v>
      </c>
      <c r="M13">
        <f t="shared" si="1"/>
        <v>0</v>
      </c>
      <c r="N13">
        <f t="shared" si="2"/>
        <v>0</v>
      </c>
      <c r="O13">
        <f t="shared" si="3"/>
        <v>1</v>
      </c>
      <c r="P13">
        <f t="shared" si="4"/>
        <v>2</v>
      </c>
      <c r="Q13" t="str">
        <f t="shared" si="5"/>
        <v>RepeatIP</v>
      </c>
      <c r="R13">
        <f t="shared" si="6"/>
        <v>0</v>
      </c>
    </row>
    <row r="14" spans="1:18" x14ac:dyDescent="0.25">
      <c r="A14" t="s">
        <v>58</v>
      </c>
      <c r="B14" s="1">
        <v>45810</v>
      </c>
      <c r="C14" s="2">
        <v>0.37928240740740743</v>
      </c>
      <c r="D14" t="s">
        <v>59</v>
      </c>
      <c r="E14">
        <v>50</v>
      </c>
      <c r="F14" t="s">
        <v>57</v>
      </c>
      <c r="G14" t="s">
        <v>14</v>
      </c>
      <c r="H14" t="s">
        <v>15</v>
      </c>
      <c r="I14" t="s">
        <v>16</v>
      </c>
      <c r="J14" t="s">
        <v>17</v>
      </c>
      <c r="K14" t="s">
        <v>18</v>
      </c>
      <c r="L14">
        <f t="shared" si="0"/>
        <v>0</v>
      </c>
      <c r="M14">
        <f t="shared" si="1"/>
        <v>0</v>
      </c>
      <c r="N14">
        <f t="shared" si="2"/>
        <v>0</v>
      </c>
      <c r="O14">
        <f t="shared" si="3"/>
        <v>1</v>
      </c>
      <c r="P14">
        <f t="shared" si="4"/>
        <v>2</v>
      </c>
      <c r="Q14" t="str">
        <f t="shared" si="5"/>
        <v>RepeatIP</v>
      </c>
      <c r="R14">
        <f t="shared" si="6"/>
        <v>0</v>
      </c>
    </row>
    <row r="15" spans="1:18" x14ac:dyDescent="0.25">
      <c r="A15" t="s">
        <v>60</v>
      </c>
      <c r="B15" s="1">
        <v>45810</v>
      </c>
      <c r="C15" s="2">
        <v>0.82638888888888884</v>
      </c>
      <c r="D15" t="s">
        <v>61</v>
      </c>
      <c r="E15">
        <v>1000000</v>
      </c>
      <c r="F15" t="s">
        <v>62</v>
      </c>
      <c r="G15" t="s">
        <v>14</v>
      </c>
      <c r="H15" t="s">
        <v>22</v>
      </c>
      <c r="I15" t="s">
        <v>16</v>
      </c>
      <c r="J15" t="s">
        <v>39</v>
      </c>
      <c r="K15" t="s">
        <v>24</v>
      </c>
      <c r="L15">
        <f t="shared" si="0"/>
        <v>1</v>
      </c>
      <c r="M15">
        <f t="shared" si="1"/>
        <v>0</v>
      </c>
      <c r="N15">
        <f t="shared" si="2"/>
        <v>1</v>
      </c>
      <c r="O15">
        <f t="shared" si="3"/>
        <v>1</v>
      </c>
      <c r="P15">
        <f t="shared" si="4"/>
        <v>7</v>
      </c>
      <c r="Q15" t="str">
        <f t="shared" si="5"/>
        <v>HighAmount CardNotPresent RepeatIP</v>
      </c>
      <c r="R15">
        <f t="shared" si="6"/>
        <v>0</v>
      </c>
    </row>
    <row r="16" spans="1:18" x14ac:dyDescent="0.25">
      <c r="A16" t="s">
        <v>63</v>
      </c>
      <c r="B16" s="1">
        <v>45810</v>
      </c>
      <c r="C16" s="2">
        <v>0.83344907407407398</v>
      </c>
      <c r="D16" t="s">
        <v>64</v>
      </c>
      <c r="E16">
        <v>60</v>
      </c>
      <c r="F16" t="s">
        <v>27</v>
      </c>
      <c r="G16" t="s">
        <v>14</v>
      </c>
      <c r="H16" t="s">
        <v>15</v>
      </c>
      <c r="I16" t="s">
        <v>16</v>
      </c>
      <c r="J16" t="s">
        <v>43</v>
      </c>
      <c r="K16" t="s">
        <v>28</v>
      </c>
      <c r="L16">
        <f t="shared" si="0"/>
        <v>0</v>
      </c>
      <c r="M16">
        <f t="shared" si="1"/>
        <v>0</v>
      </c>
      <c r="N16">
        <f t="shared" si="2"/>
        <v>0</v>
      </c>
      <c r="O16">
        <f t="shared" si="3"/>
        <v>1</v>
      </c>
      <c r="P16">
        <f t="shared" si="4"/>
        <v>2</v>
      </c>
      <c r="Q16" t="str">
        <f t="shared" si="5"/>
        <v>RepeatIP</v>
      </c>
      <c r="R16">
        <f t="shared" si="6"/>
        <v>0</v>
      </c>
    </row>
    <row r="17" spans="1:18" x14ac:dyDescent="0.25">
      <c r="A17" t="s">
        <v>65</v>
      </c>
      <c r="B17" s="1">
        <v>45810</v>
      </c>
      <c r="C17" s="2">
        <v>0.8340277777777777</v>
      </c>
      <c r="D17" t="s">
        <v>64</v>
      </c>
      <c r="E17">
        <v>61</v>
      </c>
      <c r="F17" t="s">
        <v>27</v>
      </c>
      <c r="G17" t="s">
        <v>14</v>
      </c>
      <c r="H17" t="s">
        <v>15</v>
      </c>
      <c r="I17" t="s">
        <v>16</v>
      </c>
      <c r="J17" t="s">
        <v>43</v>
      </c>
      <c r="K17" t="s">
        <v>28</v>
      </c>
      <c r="L17">
        <f t="shared" si="0"/>
        <v>0</v>
      </c>
      <c r="M17">
        <f t="shared" si="1"/>
        <v>0</v>
      </c>
      <c r="N17">
        <f t="shared" si="2"/>
        <v>0</v>
      </c>
      <c r="O17">
        <f t="shared" si="3"/>
        <v>1</v>
      </c>
      <c r="P17">
        <f t="shared" si="4"/>
        <v>2</v>
      </c>
      <c r="Q17" t="str">
        <f t="shared" si="5"/>
        <v>RepeatIP</v>
      </c>
      <c r="R17">
        <f t="shared" si="6"/>
        <v>0</v>
      </c>
    </row>
    <row r="18" spans="1:18" x14ac:dyDescent="0.25">
      <c r="A18" t="s">
        <v>66</v>
      </c>
      <c r="B18" s="1">
        <v>45811</v>
      </c>
      <c r="C18" s="2">
        <v>8.3333333333333329E-2</v>
      </c>
      <c r="D18" t="s">
        <v>67</v>
      </c>
      <c r="E18">
        <v>45000</v>
      </c>
      <c r="F18" t="s">
        <v>21</v>
      </c>
      <c r="G18" t="s">
        <v>14</v>
      </c>
      <c r="H18" t="s">
        <v>22</v>
      </c>
      <c r="I18" t="s">
        <v>16</v>
      </c>
      <c r="J18" t="s">
        <v>23</v>
      </c>
      <c r="K18" t="s">
        <v>24</v>
      </c>
      <c r="L18">
        <f t="shared" si="0"/>
        <v>1</v>
      </c>
      <c r="M18">
        <f t="shared" si="1"/>
        <v>0</v>
      </c>
      <c r="N18">
        <f t="shared" si="2"/>
        <v>1</v>
      </c>
      <c r="O18">
        <f t="shared" si="3"/>
        <v>1</v>
      </c>
      <c r="P18">
        <f t="shared" si="4"/>
        <v>7</v>
      </c>
      <c r="Q18" t="str">
        <f t="shared" si="5"/>
        <v>HighAmount CardNotPresent RepeatIP</v>
      </c>
      <c r="R18">
        <f t="shared" si="6"/>
        <v>0</v>
      </c>
    </row>
    <row r="19" spans="1:18" x14ac:dyDescent="0.25">
      <c r="A19" t="s">
        <v>68</v>
      </c>
      <c r="B19" s="1">
        <v>45811</v>
      </c>
      <c r="C19" s="2">
        <v>8.3391203703703717E-2</v>
      </c>
      <c r="D19" t="s">
        <v>69</v>
      </c>
      <c r="E19">
        <v>45000</v>
      </c>
      <c r="F19" t="s">
        <v>21</v>
      </c>
      <c r="G19" t="s">
        <v>14</v>
      </c>
      <c r="H19" t="s">
        <v>22</v>
      </c>
      <c r="I19" t="s">
        <v>16</v>
      </c>
      <c r="J19" t="s">
        <v>23</v>
      </c>
      <c r="K19" t="s">
        <v>24</v>
      </c>
      <c r="L19">
        <f t="shared" si="0"/>
        <v>1</v>
      </c>
      <c r="M19">
        <f t="shared" si="1"/>
        <v>0</v>
      </c>
      <c r="N19">
        <f t="shared" si="2"/>
        <v>1</v>
      </c>
      <c r="O19">
        <f t="shared" si="3"/>
        <v>1</v>
      </c>
      <c r="P19">
        <f t="shared" si="4"/>
        <v>7</v>
      </c>
      <c r="Q19" t="str">
        <f t="shared" si="5"/>
        <v>HighAmount CardNotPresent RepeatIP</v>
      </c>
      <c r="R19">
        <f t="shared" si="6"/>
        <v>0</v>
      </c>
    </row>
    <row r="20" spans="1:18" x14ac:dyDescent="0.25">
      <c r="A20" t="s">
        <v>70</v>
      </c>
      <c r="B20" s="1">
        <v>45811</v>
      </c>
      <c r="C20" s="2">
        <v>8.3449074074074078E-2</v>
      </c>
      <c r="D20" t="s">
        <v>71</v>
      </c>
      <c r="E20">
        <v>45000</v>
      </c>
      <c r="F20" t="s">
        <v>21</v>
      </c>
      <c r="G20" t="s">
        <v>14</v>
      </c>
      <c r="H20" t="s">
        <v>22</v>
      </c>
      <c r="I20" t="s">
        <v>16</v>
      </c>
      <c r="J20" t="s">
        <v>23</v>
      </c>
      <c r="K20" t="s">
        <v>24</v>
      </c>
      <c r="L20">
        <f t="shared" si="0"/>
        <v>1</v>
      </c>
      <c r="M20">
        <f t="shared" si="1"/>
        <v>0</v>
      </c>
      <c r="N20">
        <f t="shared" si="2"/>
        <v>1</v>
      </c>
      <c r="O20">
        <f t="shared" si="3"/>
        <v>1</v>
      </c>
      <c r="P20">
        <f t="shared" si="4"/>
        <v>7</v>
      </c>
      <c r="Q20" t="str">
        <f t="shared" si="5"/>
        <v>HighAmount CardNotPresent RepeatIP</v>
      </c>
      <c r="R20">
        <f t="shared" si="6"/>
        <v>0</v>
      </c>
    </row>
    <row r="21" spans="1:18" x14ac:dyDescent="0.25">
      <c r="A21" t="s">
        <v>72</v>
      </c>
      <c r="B21" s="1">
        <v>45811</v>
      </c>
      <c r="C21" s="2">
        <v>0.35416666666666669</v>
      </c>
      <c r="D21" t="s">
        <v>73</v>
      </c>
      <c r="E21">
        <v>250</v>
      </c>
      <c r="F21" t="s">
        <v>74</v>
      </c>
      <c r="G21" t="s">
        <v>14</v>
      </c>
      <c r="H21" t="s">
        <v>15</v>
      </c>
      <c r="I21" t="s">
        <v>16</v>
      </c>
      <c r="J21" t="s">
        <v>17</v>
      </c>
      <c r="K21" t="s">
        <v>28</v>
      </c>
      <c r="L21">
        <f t="shared" si="0"/>
        <v>0</v>
      </c>
      <c r="M21">
        <f t="shared" si="1"/>
        <v>0</v>
      </c>
      <c r="N21">
        <f t="shared" si="2"/>
        <v>0</v>
      </c>
      <c r="O21">
        <f t="shared" si="3"/>
        <v>1</v>
      </c>
      <c r="P21">
        <f t="shared" si="4"/>
        <v>2</v>
      </c>
      <c r="Q21" t="str">
        <f t="shared" si="5"/>
        <v>RepeatIP</v>
      </c>
      <c r="R21">
        <f t="shared" si="6"/>
        <v>0</v>
      </c>
    </row>
  </sheetData>
  <conditionalFormatting sqref="A2:R21">
    <cfRule type="expression" dxfId="1" priority="1">
      <formula>$P2=3</formula>
    </cfRule>
    <cfRule type="expression" dxfId="0" priority="2">
      <formula>$P2&gt;=4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21.42578125" bestFit="1" customWidth="1"/>
  </cols>
  <sheetData>
    <row r="3" spans="1:3" x14ac:dyDescent="0.25">
      <c r="A3" s="3" t="s">
        <v>82</v>
      </c>
      <c r="B3" t="s">
        <v>84</v>
      </c>
      <c r="C3" t="s">
        <v>85</v>
      </c>
    </row>
    <row r="4" spans="1:3" x14ac:dyDescent="0.25">
      <c r="A4" s="4" t="s">
        <v>50</v>
      </c>
      <c r="B4" s="5">
        <v>7</v>
      </c>
      <c r="C4" s="5">
        <v>1</v>
      </c>
    </row>
    <row r="5" spans="1:3" x14ac:dyDescent="0.25">
      <c r="A5" s="4" t="s">
        <v>14</v>
      </c>
      <c r="B5" s="5">
        <v>68</v>
      </c>
      <c r="C5" s="5">
        <v>17</v>
      </c>
    </row>
    <row r="6" spans="1:3" x14ac:dyDescent="0.25">
      <c r="A6" s="4" t="s">
        <v>32</v>
      </c>
      <c r="B6" s="5">
        <v>8</v>
      </c>
      <c r="C6" s="5">
        <v>2</v>
      </c>
    </row>
    <row r="7" spans="1:3" x14ac:dyDescent="0.25">
      <c r="A7" s="4" t="s">
        <v>83</v>
      </c>
      <c r="B7" s="5">
        <v>83</v>
      </c>
      <c r="C7" s="5">
        <v>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21.42578125" bestFit="1" customWidth="1"/>
  </cols>
  <sheetData>
    <row r="3" spans="1:3" x14ac:dyDescent="0.25">
      <c r="A3" s="3" t="s">
        <v>82</v>
      </c>
      <c r="B3" t="s">
        <v>84</v>
      </c>
      <c r="C3" t="s">
        <v>85</v>
      </c>
    </row>
    <row r="4" spans="1:3" x14ac:dyDescent="0.25">
      <c r="A4" s="4" t="s">
        <v>17</v>
      </c>
      <c r="B4" s="5">
        <v>12</v>
      </c>
      <c r="C4" s="5">
        <v>6</v>
      </c>
    </row>
    <row r="5" spans="1:3" x14ac:dyDescent="0.25">
      <c r="A5" s="4" t="s">
        <v>43</v>
      </c>
      <c r="B5" s="5">
        <v>6</v>
      </c>
      <c r="C5" s="5">
        <v>3</v>
      </c>
    </row>
    <row r="6" spans="1:3" x14ac:dyDescent="0.25">
      <c r="A6" s="4" t="s">
        <v>39</v>
      </c>
      <c r="B6" s="5">
        <v>14</v>
      </c>
      <c r="C6" s="5">
        <v>2</v>
      </c>
    </row>
    <row r="7" spans="1:3" x14ac:dyDescent="0.25">
      <c r="A7" s="4" t="s">
        <v>23</v>
      </c>
      <c r="B7" s="5">
        <v>36</v>
      </c>
      <c r="C7" s="5">
        <v>6</v>
      </c>
    </row>
    <row r="8" spans="1:3" x14ac:dyDescent="0.25">
      <c r="A8" s="4" t="s">
        <v>34</v>
      </c>
      <c r="B8" s="5">
        <v>8</v>
      </c>
      <c r="C8" s="5">
        <v>2</v>
      </c>
    </row>
    <row r="9" spans="1:3" x14ac:dyDescent="0.25">
      <c r="A9" s="4" t="s">
        <v>51</v>
      </c>
      <c r="B9" s="5">
        <v>7</v>
      </c>
      <c r="C9" s="5">
        <v>1</v>
      </c>
    </row>
    <row r="10" spans="1:3" x14ac:dyDescent="0.25">
      <c r="A10" s="4" t="s">
        <v>83</v>
      </c>
      <c r="B10" s="5">
        <v>83</v>
      </c>
      <c r="C10" s="5">
        <v>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1"/>
  <sheetViews>
    <sheetView topLeftCell="C1" workbookViewId="0">
      <selection activeCell="A4" sqref="A4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21.42578125" bestFit="1" customWidth="1"/>
  </cols>
  <sheetData>
    <row r="3" spans="1:3" x14ac:dyDescent="0.25">
      <c r="A3" s="3" t="s">
        <v>82</v>
      </c>
      <c r="B3" t="s">
        <v>84</v>
      </c>
      <c r="C3" t="s">
        <v>85</v>
      </c>
    </row>
    <row r="4" spans="1:3" x14ac:dyDescent="0.25">
      <c r="A4" s="4" t="s">
        <v>12</v>
      </c>
      <c r="B4" s="5">
        <v>2</v>
      </c>
      <c r="C4" s="5">
        <v>1</v>
      </c>
    </row>
    <row r="5" spans="1:3" x14ac:dyDescent="0.25">
      <c r="A5" s="4" t="s">
        <v>20</v>
      </c>
      <c r="B5" s="5">
        <v>7</v>
      </c>
      <c r="C5" s="5">
        <v>1</v>
      </c>
    </row>
    <row r="6" spans="1:3" x14ac:dyDescent="0.25">
      <c r="A6" s="4" t="s">
        <v>26</v>
      </c>
      <c r="B6" s="5">
        <v>2</v>
      </c>
      <c r="C6" s="5">
        <v>1</v>
      </c>
    </row>
    <row r="7" spans="1:3" x14ac:dyDescent="0.25">
      <c r="A7" s="4" t="s">
        <v>30</v>
      </c>
      <c r="B7" s="5">
        <v>8</v>
      </c>
      <c r="C7" s="5">
        <v>2</v>
      </c>
    </row>
    <row r="8" spans="1:3" x14ac:dyDescent="0.25">
      <c r="A8" s="4" t="s">
        <v>37</v>
      </c>
      <c r="B8" s="5">
        <v>7</v>
      </c>
      <c r="C8" s="5">
        <v>1</v>
      </c>
    </row>
    <row r="9" spans="1:3" x14ac:dyDescent="0.25">
      <c r="A9" s="4" t="s">
        <v>41</v>
      </c>
      <c r="B9" s="5">
        <v>2</v>
      </c>
      <c r="C9" s="5">
        <v>1</v>
      </c>
    </row>
    <row r="10" spans="1:3" x14ac:dyDescent="0.25">
      <c r="A10" s="4" t="s">
        <v>45</v>
      </c>
      <c r="B10" s="5">
        <v>8</v>
      </c>
      <c r="C10" s="5">
        <v>2</v>
      </c>
    </row>
    <row r="11" spans="1:3" x14ac:dyDescent="0.25">
      <c r="A11" s="4" t="s">
        <v>48</v>
      </c>
      <c r="B11" s="5">
        <v>7</v>
      </c>
      <c r="C11" s="5">
        <v>1</v>
      </c>
    </row>
    <row r="12" spans="1:3" x14ac:dyDescent="0.25">
      <c r="A12" s="4" t="s">
        <v>53</v>
      </c>
      <c r="B12" s="5">
        <v>2</v>
      </c>
      <c r="C12" s="5">
        <v>1</v>
      </c>
    </row>
    <row r="13" spans="1:3" x14ac:dyDescent="0.25">
      <c r="A13" s="4" t="s">
        <v>56</v>
      </c>
      <c r="B13" s="5">
        <v>2</v>
      </c>
      <c r="C13" s="5">
        <v>1</v>
      </c>
    </row>
    <row r="14" spans="1:3" x14ac:dyDescent="0.25">
      <c r="A14" s="4" t="s">
        <v>59</v>
      </c>
      <c r="B14" s="5">
        <v>2</v>
      </c>
      <c r="C14" s="5">
        <v>1</v>
      </c>
    </row>
    <row r="15" spans="1:3" x14ac:dyDescent="0.25">
      <c r="A15" s="4" t="s">
        <v>61</v>
      </c>
      <c r="B15" s="5">
        <v>7</v>
      </c>
      <c r="C15" s="5">
        <v>1</v>
      </c>
    </row>
    <row r="16" spans="1:3" x14ac:dyDescent="0.25">
      <c r="A16" s="4" t="s">
        <v>64</v>
      </c>
      <c r="B16" s="5">
        <v>4</v>
      </c>
      <c r="C16" s="5">
        <v>2</v>
      </c>
    </row>
    <row r="17" spans="1:3" x14ac:dyDescent="0.25">
      <c r="A17" s="4" t="s">
        <v>67</v>
      </c>
      <c r="B17" s="5">
        <v>7</v>
      </c>
      <c r="C17" s="5">
        <v>1</v>
      </c>
    </row>
    <row r="18" spans="1:3" x14ac:dyDescent="0.25">
      <c r="A18" s="4" t="s">
        <v>69</v>
      </c>
      <c r="B18" s="5">
        <v>7</v>
      </c>
      <c r="C18" s="5">
        <v>1</v>
      </c>
    </row>
    <row r="19" spans="1:3" x14ac:dyDescent="0.25">
      <c r="A19" s="4" t="s">
        <v>71</v>
      </c>
      <c r="B19" s="5">
        <v>7</v>
      </c>
      <c r="C19" s="5">
        <v>1</v>
      </c>
    </row>
    <row r="20" spans="1:3" x14ac:dyDescent="0.25">
      <c r="A20" s="4" t="s">
        <v>73</v>
      </c>
      <c r="B20" s="5">
        <v>2</v>
      </c>
      <c r="C20" s="5">
        <v>1</v>
      </c>
    </row>
    <row r="21" spans="1:3" x14ac:dyDescent="0.25">
      <c r="A21" s="4" t="s">
        <v>83</v>
      </c>
      <c r="B21" s="5">
        <v>83</v>
      </c>
      <c r="C21" s="5">
        <v>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Project_Overview</vt:lpstr>
      <vt:lpstr>Transaction_Data</vt:lpstr>
      <vt:lpstr>Country_Risk_Analysis</vt:lpstr>
      <vt:lpstr>IP_Risk_Analysis</vt:lpstr>
      <vt:lpstr>Customer_Risk_Analysis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OriGin</dc:creator>
  <cp:lastModifiedBy>OriGin</cp:lastModifiedBy>
  <dcterms:created xsi:type="dcterms:W3CDTF">2025-12-03T11:44:30Z</dcterms:created>
  <dcterms:modified xsi:type="dcterms:W3CDTF">2025-12-03T14:53:00Z</dcterms:modified>
</cp:coreProperties>
</file>