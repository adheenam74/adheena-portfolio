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iGin\Desktop\"/>
    </mc:Choice>
  </mc:AlternateContent>
  <bookViews>
    <workbookView xWindow="0" yWindow="0" windowWidth="20490" windowHeight="7650"/>
  </bookViews>
  <sheets>
    <sheet name="AML_Dashboard" sheetId="4" r:id="rId1"/>
    <sheet name="AML_Data" sheetId="1" r:id="rId2"/>
    <sheet name="AML_Pivot" sheetId="3" r:id="rId3"/>
  </sheets>
  <definedNames>
    <definedName name="_xlnm.Print_Area" localSheetId="0">AML_Dashboard!$A$1:$M$34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J2" i="1" l="1"/>
  <c r="I2" i="1"/>
  <c r="H2" i="1"/>
</calcChain>
</file>

<file path=xl/sharedStrings.xml><?xml version="1.0" encoding="utf-8"?>
<sst xmlns="http://schemas.openxmlformats.org/spreadsheetml/2006/main" count="94" uniqueCount="51">
  <si>
    <t>TransactionID</t>
  </si>
  <si>
    <t>Date</t>
  </si>
  <si>
    <t>CustomerID</t>
  </si>
  <si>
    <t>Country</t>
  </si>
  <si>
    <t>Amount</t>
  </si>
  <si>
    <t>TransactionType</t>
  </si>
  <si>
    <t>HighRiskCountry</t>
  </si>
  <si>
    <t>T001</t>
  </si>
  <si>
    <t>C101</t>
  </si>
  <si>
    <t>India</t>
  </si>
  <si>
    <t>Cash Deposit</t>
  </si>
  <si>
    <t>No</t>
  </si>
  <si>
    <t>T002</t>
  </si>
  <si>
    <t>C102</t>
  </si>
  <si>
    <t>UAE</t>
  </si>
  <si>
    <t>Wire Transfer</t>
  </si>
  <si>
    <t>Yes</t>
  </si>
  <si>
    <t>T003</t>
  </si>
  <si>
    <t>T004</t>
  </si>
  <si>
    <t>C103</t>
  </si>
  <si>
    <t>Nigeria</t>
  </si>
  <si>
    <t>International Transfer</t>
  </si>
  <si>
    <t>T005</t>
  </si>
  <si>
    <t>C104</t>
  </si>
  <si>
    <t>UK</t>
  </si>
  <si>
    <t>Online Purchase</t>
  </si>
  <si>
    <t>T006</t>
  </si>
  <si>
    <t>T007</t>
  </si>
  <si>
    <t>T008</t>
  </si>
  <si>
    <t>T009</t>
  </si>
  <si>
    <t>C105</t>
  </si>
  <si>
    <t>Singapore</t>
  </si>
  <si>
    <t>Cash Withdrawal</t>
  </si>
  <si>
    <t>T010</t>
  </si>
  <si>
    <t>HighValueFlag</t>
  </si>
  <si>
    <t xml:space="preserve">HighRiskCountryFlag </t>
  </si>
  <si>
    <t>StructuringFlag</t>
  </si>
  <si>
    <t>Row Labels</t>
  </si>
  <si>
    <t>Grand Total</t>
  </si>
  <si>
    <t>Sum of HighValueFlag</t>
  </si>
  <si>
    <t xml:space="preserve">Sum of HighRiskCountryFlag </t>
  </si>
  <si>
    <t>Sum of StructuringFlag</t>
  </si>
  <si>
    <t>Sum of Amount</t>
  </si>
  <si>
    <t>Total Transaction</t>
  </si>
  <si>
    <t>High Value Transaction</t>
  </si>
  <si>
    <t>High Risk Country</t>
  </si>
  <si>
    <t>Suspicious Customer</t>
  </si>
  <si>
    <t>Structuring Flag</t>
  </si>
  <si>
    <t>Count of HighRiskCountry</t>
  </si>
  <si>
    <t>SUSPICIOUS TRANSACTION IDENTIFICATION</t>
  </si>
  <si>
    <t>Note: This dashboard is created using simulated data for learning and portfolio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</si>
</sst>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 tint="0.59999389629810485"/>
      <name val="Agency FB"/>
      <family val="2"/>
    </font>
    <font>
      <b/>
      <sz val="11"/>
      <color theme="0"/>
      <name val="Bahnschrift SemiBold SemiConden"/>
      <family val="2"/>
    </font>
    <font>
      <sz val="11"/>
      <color theme="7" tint="0.59999389629810485"/>
      <name val="Bahnschrift Condensed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4110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Alignment="0">
      <alignment horizontal="center"/>
    </xf>
    <xf numFmtId="0" fontId="1" fillId="3" borderId="0">
      <alignment horizontal="center" vertical="center"/>
    </xf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2"/>
    </xf>
    <xf numFmtId="0" fontId="4" fillId="2" borderId="0" xfId="1" applyFont="1" applyAlignment="1"/>
    <xf numFmtId="0" fontId="0" fillId="4" borderId="0" xfId="0" applyFill="1"/>
    <xf numFmtId="0" fontId="3" fillId="3" borderId="0" xfId="2" applyFont="1">
      <alignment horizontal="center" vertical="center"/>
    </xf>
    <xf numFmtId="0" fontId="1" fillId="3" borderId="0" xfId="2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1" applyFont="1" applyAlignment="1">
      <alignment horizontal="center"/>
    </xf>
  </cellXfs>
  <cellStyles count="3">
    <cellStyle name="Normal" xfId="0" builtinId="0"/>
    <cellStyle name="Style 1" xfId="1"/>
    <cellStyle name="Style 2" xfId="2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2929"/>
      <color rgb="FFD411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[Suspicious_transaction_identification.xlsx]AML_Pivot!PivotTable2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AML_Pivot!$B$3</c:f>
              <c:strCache>
                <c:ptCount val="1"/>
                <c:pt idx="0">
                  <c:v>Sum of HighValueFlag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AML_Pivot!$A$4:$A$9</c:f>
              <c:strCache>
                <c:ptCount val="5"/>
                <c:pt idx="0">
                  <c:v>C101</c:v>
                </c:pt>
                <c:pt idx="1">
                  <c:v>C102</c:v>
                </c:pt>
                <c:pt idx="2">
                  <c:v>C103</c:v>
                </c:pt>
                <c:pt idx="3">
                  <c:v>C104</c:v>
                </c:pt>
                <c:pt idx="4">
                  <c:v>C105</c:v>
                </c:pt>
              </c:strCache>
            </c:strRef>
          </c:cat>
          <c:val>
            <c:numRef>
              <c:f>AML_Pivot!$B$4:$B$9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4-44ED-BD18-FFDB3EDED1D0}"/>
            </c:ext>
          </c:extLst>
        </c:ser>
        <c:ser>
          <c:idx val="1"/>
          <c:order val="1"/>
          <c:tx>
            <c:strRef>
              <c:f>AML_Pivot!$C$3</c:f>
              <c:strCache>
                <c:ptCount val="1"/>
                <c:pt idx="0">
                  <c:v>Sum of HighRiskCountryFlag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AML_Pivot!$A$4:$A$9</c:f>
              <c:strCache>
                <c:ptCount val="5"/>
                <c:pt idx="0">
                  <c:v>C101</c:v>
                </c:pt>
                <c:pt idx="1">
                  <c:v>C102</c:v>
                </c:pt>
                <c:pt idx="2">
                  <c:v>C103</c:v>
                </c:pt>
                <c:pt idx="3">
                  <c:v>C104</c:v>
                </c:pt>
                <c:pt idx="4">
                  <c:v>C105</c:v>
                </c:pt>
              </c:strCache>
            </c:strRef>
          </c:cat>
          <c:val>
            <c:numRef>
              <c:f>AML_Pivot!$C$4:$C$9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4-44ED-BD18-FFDB3EDE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668757615"/>
        <c:axId val="668762191"/>
      </c:barChart>
      <c:lineChart>
        <c:grouping val="standard"/>
        <c:varyColors val="0"/>
        <c:ser>
          <c:idx val="2"/>
          <c:order val="2"/>
          <c:tx>
            <c:strRef>
              <c:f>AML_Pivot!$D$3</c:f>
              <c:strCache>
                <c:ptCount val="1"/>
                <c:pt idx="0">
                  <c:v>Sum of StructuringFlag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AML_Pivot!$A$4:$A$9</c:f>
              <c:strCache>
                <c:ptCount val="5"/>
                <c:pt idx="0">
                  <c:v>C101</c:v>
                </c:pt>
                <c:pt idx="1">
                  <c:v>C102</c:v>
                </c:pt>
                <c:pt idx="2">
                  <c:v>C103</c:v>
                </c:pt>
                <c:pt idx="3">
                  <c:v>C104</c:v>
                </c:pt>
                <c:pt idx="4">
                  <c:v>C105</c:v>
                </c:pt>
              </c:strCache>
            </c:strRef>
          </c:cat>
          <c:val>
            <c:numRef>
              <c:f>AML_Pivot!$D$4:$D$9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54-44ED-BD18-FFDB3EDE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755535"/>
        <c:axId val="668756783"/>
      </c:lineChart>
      <c:catAx>
        <c:axId val="668757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62191"/>
        <c:crosses val="autoZero"/>
        <c:auto val="1"/>
        <c:lblAlgn val="ctr"/>
        <c:lblOffset val="100"/>
        <c:noMultiLvlLbl val="0"/>
      </c:catAx>
      <c:valAx>
        <c:axId val="66876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57615"/>
        <c:crosses val="autoZero"/>
        <c:crossBetween val="between"/>
      </c:valAx>
      <c:valAx>
        <c:axId val="66875678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55535"/>
        <c:crosses val="max"/>
        <c:crossBetween val="between"/>
      </c:valAx>
      <c:catAx>
        <c:axId val="668755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756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[Suspicious_transaction_identification.xlsx]AML_Pivot!PivotTable1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Risk Customer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AML_Pivot!$B$13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AML_Pivot!$A$14:$A$26</c:f>
              <c:multiLvlStrCache>
                <c:ptCount val="4"/>
                <c:lvl>
                  <c:pt idx="0">
                    <c:v>C101</c:v>
                  </c:pt>
                  <c:pt idx="1">
                    <c:v>C101</c:v>
                  </c:pt>
                  <c:pt idx="2">
                    <c:v>C101</c:v>
                  </c:pt>
                  <c:pt idx="3">
                    <c:v>C101</c:v>
                  </c:pt>
                </c:lvl>
                <c:lvl>
                  <c:pt idx="0">
                    <c:v>05-01-25</c:v>
                  </c:pt>
                  <c:pt idx="1">
                    <c:v>06-01-25</c:v>
                  </c:pt>
                  <c:pt idx="2">
                    <c:v>08-01-25</c:v>
                  </c:pt>
                  <c:pt idx="3">
                    <c:v>10-01-25</c:v>
                  </c:pt>
                </c:lvl>
                <c:lvl>
                  <c:pt idx="0">
                    <c:v>T001</c:v>
                  </c:pt>
                  <c:pt idx="1">
                    <c:v>T003</c:v>
                  </c:pt>
                  <c:pt idx="2">
                    <c:v>T007</c:v>
                  </c:pt>
                  <c:pt idx="3">
                    <c:v>T010</c:v>
                  </c:pt>
                </c:lvl>
              </c:multiLvlStrCache>
            </c:multiLvlStrRef>
          </c:cat>
          <c:val>
            <c:numRef>
              <c:f>AML_Pivot!$B$14:$B$26</c:f>
              <c:numCache>
                <c:formatCode>General</c:formatCode>
                <c:ptCount val="4"/>
                <c:pt idx="0">
                  <c:v>45000</c:v>
                </c:pt>
                <c:pt idx="1">
                  <c:v>48000</c:v>
                </c:pt>
                <c:pt idx="2">
                  <c:v>49000</c:v>
                </c:pt>
                <c:pt idx="3">
                  <c:v>51000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7-4C78-9952-1525A1400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645471"/>
        <c:axId val="607187231"/>
      </c:lineChart>
      <c:catAx>
        <c:axId val="55764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87231"/>
        <c:crosses val="autoZero"/>
        <c:auto val="1"/>
        <c:lblAlgn val="ctr"/>
        <c:lblOffset val="100"/>
        <c:noMultiLvlLbl val="0"/>
      </c:catAx>
      <c:valAx>
        <c:axId val="60718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4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[Suspicious_transaction_identification.xlsx]AML_Pivot!PivotTable3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Risk Country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2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2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AML_Pivot!$B$29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FB-4815-9909-3FF18EA302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FB-4815-9909-3FF18EA3021D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FB-4815-9909-3FF18EA3021D}"/>
              </c:ext>
            </c:extLst>
          </c:dPt>
          <c:cat>
            <c:strRef>
              <c:f>AML_Pivot!$A$30:$A$33</c:f>
              <c:strCache>
                <c:ptCount val="3"/>
                <c:pt idx="0">
                  <c:v>India</c:v>
                </c:pt>
                <c:pt idx="1">
                  <c:v>Nigeria</c:v>
                </c:pt>
                <c:pt idx="2">
                  <c:v>UAE</c:v>
                </c:pt>
              </c:strCache>
            </c:strRef>
          </c:cat>
          <c:val>
            <c:numRef>
              <c:f>AML_Pivot!$B$30:$B$33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FB-4815-9909-3FF18EA30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[Suspicious_transaction_identification.xlsx]AML_Pivot!PivotTable2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AML_Pivot!$B$3</c:f>
              <c:strCache>
                <c:ptCount val="1"/>
                <c:pt idx="0">
                  <c:v>Sum of HighValueFlag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AML_Pivot!$A$4:$A$9</c:f>
              <c:strCache>
                <c:ptCount val="5"/>
                <c:pt idx="0">
                  <c:v>C101</c:v>
                </c:pt>
                <c:pt idx="1">
                  <c:v>C102</c:v>
                </c:pt>
                <c:pt idx="2">
                  <c:v>C103</c:v>
                </c:pt>
                <c:pt idx="3">
                  <c:v>C104</c:v>
                </c:pt>
                <c:pt idx="4">
                  <c:v>C105</c:v>
                </c:pt>
              </c:strCache>
            </c:strRef>
          </c:cat>
          <c:val>
            <c:numRef>
              <c:f>AML_Pivot!$B$4:$B$9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C-4338-B81A-4C7D13E6FD00}"/>
            </c:ext>
          </c:extLst>
        </c:ser>
        <c:ser>
          <c:idx val="1"/>
          <c:order val="1"/>
          <c:tx>
            <c:strRef>
              <c:f>AML_Pivot!$C$3</c:f>
              <c:strCache>
                <c:ptCount val="1"/>
                <c:pt idx="0">
                  <c:v>Sum of HighRiskCountryFlag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AML_Pivot!$A$4:$A$9</c:f>
              <c:strCache>
                <c:ptCount val="5"/>
                <c:pt idx="0">
                  <c:v>C101</c:v>
                </c:pt>
                <c:pt idx="1">
                  <c:v>C102</c:v>
                </c:pt>
                <c:pt idx="2">
                  <c:v>C103</c:v>
                </c:pt>
                <c:pt idx="3">
                  <c:v>C104</c:v>
                </c:pt>
                <c:pt idx="4">
                  <c:v>C105</c:v>
                </c:pt>
              </c:strCache>
            </c:strRef>
          </c:cat>
          <c:val>
            <c:numRef>
              <c:f>AML_Pivot!$C$4:$C$9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C-4338-B81A-4C7D13E6F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757615"/>
        <c:axId val="668762191"/>
      </c:barChart>
      <c:lineChart>
        <c:grouping val="standard"/>
        <c:varyColors val="0"/>
        <c:ser>
          <c:idx val="2"/>
          <c:order val="2"/>
          <c:tx>
            <c:strRef>
              <c:f>AML_Pivot!$D$3</c:f>
              <c:strCache>
                <c:ptCount val="1"/>
                <c:pt idx="0">
                  <c:v>Sum of StructuringFlag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AML_Pivot!$A$4:$A$9</c:f>
              <c:strCache>
                <c:ptCount val="5"/>
                <c:pt idx="0">
                  <c:v>C101</c:v>
                </c:pt>
                <c:pt idx="1">
                  <c:v>C102</c:v>
                </c:pt>
                <c:pt idx="2">
                  <c:v>C103</c:v>
                </c:pt>
                <c:pt idx="3">
                  <c:v>C104</c:v>
                </c:pt>
                <c:pt idx="4">
                  <c:v>C105</c:v>
                </c:pt>
              </c:strCache>
            </c:strRef>
          </c:cat>
          <c:val>
            <c:numRef>
              <c:f>AML_Pivot!$D$4:$D$9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5C-4338-B81A-4C7D13E6F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755535"/>
        <c:axId val="668756783"/>
      </c:lineChart>
      <c:catAx>
        <c:axId val="66875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62191"/>
        <c:crosses val="autoZero"/>
        <c:auto val="1"/>
        <c:lblAlgn val="ctr"/>
        <c:lblOffset val="100"/>
        <c:noMultiLvlLbl val="0"/>
      </c:catAx>
      <c:valAx>
        <c:axId val="66876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57615"/>
        <c:crosses val="autoZero"/>
        <c:crossBetween val="between"/>
      </c:valAx>
      <c:valAx>
        <c:axId val="6687567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55535"/>
        <c:crosses val="max"/>
        <c:crossBetween val="between"/>
      </c:valAx>
      <c:catAx>
        <c:axId val="668755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756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[Suspicious_transaction_identification.xlsx]AML_Pivot!PivotTable1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Risk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AML_Pivot!$B$13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AML_Pivot!$A$14:$A$26</c:f>
              <c:multiLvlStrCache>
                <c:ptCount val="4"/>
                <c:lvl>
                  <c:pt idx="0">
                    <c:v>C101</c:v>
                  </c:pt>
                  <c:pt idx="1">
                    <c:v>C101</c:v>
                  </c:pt>
                  <c:pt idx="2">
                    <c:v>C101</c:v>
                  </c:pt>
                  <c:pt idx="3">
                    <c:v>C101</c:v>
                  </c:pt>
                </c:lvl>
                <c:lvl>
                  <c:pt idx="0">
                    <c:v>05-01-25</c:v>
                  </c:pt>
                  <c:pt idx="1">
                    <c:v>06-01-25</c:v>
                  </c:pt>
                  <c:pt idx="2">
                    <c:v>08-01-25</c:v>
                  </c:pt>
                  <c:pt idx="3">
                    <c:v>10-01-25</c:v>
                  </c:pt>
                </c:lvl>
                <c:lvl>
                  <c:pt idx="0">
                    <c:v>T001</c:v>
                  </c:pt>
                  <c:pt idx="1">
                    <c:v>T003</c:v>
                  </c:pt>
                  <c:pt idx="2">
                    <c:v>T007</c:v>
                  </c:pt>
                  <c:pt idx="3">
                    <c:v>T010</c:v>
                  </c:pt>
                </c:lvl>
              </c:multiLvlStrCache>
            </c:multiLvlStrRef>
          </c:cat>
          <c:val>
            <c:numRef>
              <c:f>AML_Pivot!$B$14:$B$26</c:f>
              <c:numCache>
                <c:formatCode>General</c:formatCode>
                <c:ptCount val="4"/>
                <c:pt idx="0">
                  <c:v>45000</c:v>
                </c:pt>
                <c:pt idx="1">
                  <c:v>48000</c:v>
                </c:pt>
                <c:pt idx="2">
                  <c:v>49000</c:v>
                </c:pt>
                <c:pt idx="3">
                  <c:v>51000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E-4411-AE7F-11D1CD5F0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645471"/>
        <c:axId val="607187231"/>
      </c:lineChart>
      <c:catAx>
        <c:axId val="55764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87231"/>
        <c:crosses val="autoZero"/>
        <c:auto val="1"/>
        <c:lblAlgn val="ctr"/>
        <c:lblOffset val="100"/>
        <c:noMultiLvlLbl val="0"/>
      </c:catAx>
      <c:valAx>
        <c:axId val="60718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4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[Suspicious_transaction_identification.xlsx]AML_Pivot!PivotTable3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2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AML_Pivot!$B$29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B5-45B5-9B90-67D5F37B5B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B5-45B5-9B90-67D5F37B5BDB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B5-45B5-9B90-67D5F37B5BDB}"/>
              </c:ext>
            </c:extLst>
          </c:dPt>
          <c:cat>
            <c:strRef>
              <c:f>AML_Pivot!$A$30:$A$33</c:f>
              <c:strCache>
                <c:ptCount val="3"/>
                <c:pt idx="0">
                  <c:v>India</c:v>
                </c:pt>
                <c:pt idx="1">
                  <c:v>Nigeria</c:v>
                </c:pt>
                <c:pt idx="2">
                  <c:v>UAE</c:v>
                </c:pt>
              </c:strCache>
            </c:strRef>
          </c:cat>
          <c:val>
            <c:numRef>
              <c:f>AML_Pivot!$B$30:$B$33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7-4059-A442-BA7537BDD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5</xdr:row>
      <xdr:rowOff>0</xdr:rowOff>
    </xdr:from>
    <xdr:to>
      <xdr:col>6</xdr:col>
      <xdr:colOff>514350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4</xdr:row>
      <xdr:rowOff>180974</xdr:rowOff>
    </xdr:from>
    <xdr:to>
      <xdr:col>12</xdr:col>
      <xdr:colOff>476250</xdr:colOff>
      <xdr:row>18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142874</xdr:colOff>
      <xdr:row>19</xdr:row>
      <xdr:rowOff>122647</xdr:rowOff>
    </xdr:from>
    <xdr:to>
      <xdr:col>12</xdr:col>
      <xdr:colOff>481601</xdr:colOff>
      <xdr:row>30</xdr:row>
      <xdr:rowOff>181938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</xdr:row>
      <xdr:rowOff>1</xdr:rowOff>
    </xdr:from>
    <xdr:to>
      <xdr:col>9</xdr:col>
      <xdr:colOff>314325</xdr:colOff>
      <xdr:row>12</xdr:row>
      <xdr:rowOff>114301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504824</xdr:colOff>
      <xdr:row>12</xdr:row>
      <xdr:rowOff>161926</xdr:rowOff>
    </xdr:from>
    <xdr:to>
      <xdr:col>5</xdr:col>
      <xdr:colOff>123824</xdr:colOff>
      <xdr:row>26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485775</xdr:colOff>
      <xdr:row>27</xdr:row>
      <xdr:rowOff>57150</xdr:rowOff>
    </xdr:from>
    <xdr:to>
      <xdr:col>5</xdr:col>
      <xdr:colOff>38100</xdr:colOff>
      <xdr:row>38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riGin" refreshedDate="45997.771827430559" createdVersion="6" refreshedVersion="6" minRefreshableVersion="3" recordCount="10">
  <cacheSource type="worksheet">
    <worksheetSource ref="A1:J11" sheet="AML_Data"/>
  </cacheSource>
  <cacheFields count="10">
    <cacheField name="TransactionID" numFmtId="0">
      <sharedItems count="10">
        <s v="T001"/>
        <s v="T002"/>
        <s v="T003"/>
        <s v="T004"/>
        <s v="T005"/>
        <s v="T006"/>
        <s v="T007"/>
        <s v="T008"/>
        <s v="T009"/>
        <s v="T010"/>
      </sharedItems>
    </cacheField>
    <cacheField name="Date" numFmtId="14">
      <sharedItems containsSemiMixedTypes="0" containsNonDate="0" containsDate="1" containsString="0" minDate="2025-01-05T00:00:00" maxDate="2025-01-11T00:00:00" count="6">
        <d v="2025-01-05T00:00:00"/>
        <d v="2025-01-06T00:00:00"/>
        <d v="2025-01-07T00:00:00"/>
        <d v="2025-01-08T00:00:00"/>
        <d v="2025-01-09T00:00:00"/>
        <d v="2025-01-10T00:00:00"/>
      </sharedItems>
    </cacheField>
    <cacheField name="CustomerID" numFmtId="0">
      <sharedItems count="5">
        <s v="C101"/>
        <s v="C102"/>
        <s v="C103"/>
        <s v="C104"/>
        <s v="C105"/>
      </sharedItems>
    </cacheField>
    <cacheField name="Country" numFmtId="0">
      <sharedItems count="5">
        <s v="India"/>
        <s v="UAE"/>
        <s v="Nigeria"/>
        <s v="UK"/>
        <s v="Singapore"/>
      </sharedItems>
    </cacheField>
    <cacheField name="Amount" numFmtId="0">
      <sharedItems containsSemiMixedTypes="0" containsString="0" containsNumber="1" containsInteger="1" minValue="7000" maxValue="980000"/>
    </cacheField>
    <cacheField name="TransactionType" numFmtId="0">
      <sharedItems/>
    </cacheField>
    <cacheField name="HighRiskCountry" numFmtId="0">
      <sharedItems/>
    </cacheField>
    <cacheField name="HighValueFlag" numFmtId="0">
      <sharedItems containsSemiMixedTypes="0" containsString="0" containsNumber="1" containsInteger="1" minValue="0" maxValue="1"/>
    </cacheField>
    <cacheField name="HighRiskCountryFlag " numFmtId="0">
      <sharedItems containsSemiMixedTypes="0" containsString="0" containsNumber="1" containsInteger="1" minValue="0" maxValue="1"/>
    </cacheField>
    <cacheField name="Structuring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n v="45000"/>
    <s v="Cash Deposit"/>
    <s v="No"/>
    <n v="0"/>
    <n v="0"/>
    <n v="1"/>
  </r>
  <r>
    <x v="1"/>
    <x v="0"/>
    <x v="1"/>
    <x v="1"/>
    <n v="950000"/>
    <s v="Wire Transfer"/>
    <s v="Yes"/>
    <n v="1"/>
    <n v="1"/>
    <n v="0"/>
  </r>
  <r>
    <x v="2"/>
    <x v="1"/>
    <x v="0"/>
    <x v="0"/>
    <n v="48000"/>
    <s v="Cash Deposit"/>
    <s v="No"/>
    <n v="0"/>
    <n v="0"/>
    <n v="1"/>
  </r>
  <r>
    <x v="3"/>
    <x v="1"/>
    <x v="2"/>
    <x v="2"/>
    <n v="150000"/>
    <s v="International Transfer"/>
    <s v="Yes"/>
    <n v="1"/>
    <n v="1"/>
    <n v="0"/>
  </r>
  <r>
    <x v="4"/>
    <x v="2"/>
    <x v="3"/>
    <x v="3"/>
    <n v="7000"/>
    <s v="Online Purchase"/>
    <s v="No"/>
    <n v="0"/>
    <n v="0"/>
    <n v="0"/>
  </r>
  <r>
    <x v="5"/>
    <x v="2"/>
    <x v="2"/>
    <x v="2"/>
    <n v="160000"/>
    <s v="International Transfer"/>
    <s v="Yes"/>
    <n v="1"/>
    <n v="1"/>
    <n v="0"/>
  </r>
  <r>
    <x v="6"/>
    <x v="3"/>
    <x v="0"/>
    <x v="0"/>
    <n v="49000"/>
    <s v="Cash Deposit"/>
    <s v="No"/>
    <n v="0"/>
    <n v="0"/>
    <n v="1"/>
  </r>
  <r>
    <x v="7"/>
    <x v="4"/>
    <x v="1"/>
    <x v="1"/>
    <n v="980000"/>
    <s v="Wire Transfer"/>
    <s v="Yes"/>
    <n v="1"/>
    <n v="1"/>
    <n v="0"/>
  </r>
  <r>
    <x v="8"/>
    <x v="5"/>
    <x v="4"/>
    <x v="4"/>
    <n v="55000"/>
    <s v="Cash Withdrawal"/>
    <s v="No"/>
    <n v="0"/>
    <n v="0"/>
    <n v="0"/>
  </r>
  <r>
    <x v="9"/>
    <x v="5"/>
    <x v="0"/>
    <x v="0"/>
    <n v="51000"/>
    <s v="Cash Deposit"/>
    <s v="No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29:B33" firstHeaderRow="1" firstDataRow="1" firstDataCol="1"/>
  <pivotFields count="10">
    <pivotField showAll="0"/>
    <pivotField numFmtId="14" showAll="0"/>
    <pivotField showAll="0"/>
    <pivotField axis="axisRow" showAll="0">
      <items count="6">
        <item x="0"/>
        <item x="2"/>
        <item h="1" x="4"/>
        <item x="1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HighRiskCountry" fld="6" subtotal="count" baseField="0" baseItem="0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3:B26" firstHeaderRow="1" firstDataRow="1" firstDataCol="1"/>
  <pivotFields count="10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h="1" x="1"/>
        <item h="1" x="2"/>
        <item h="1" x="3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3">
    <i>
      <x/>
    </i>
    <i r="1">
      <x/>
    </i>
    <i r="2">
      <x/>
    </i>
    <i>
      <x v="2"/>
    </i>
    <i r="1">
      <x v="1"/>
    </i>
    <i r="2">
      <x/>
    </i>
    <i>
      <x v="6"/>
    </i>
    <i r="1">
      <x v="3"/>
    </i>
    <i r="2">
      <x/>
    </i>
    <i>
      <x v="9"/>
    </i>
    <i r="1">
      <x v="5"/>
    </i>
    <i r="2">
      <x/>
    </i>
    <i t="grand">
      <x/>
    </i>
  </rowItems>
  <colItems count="1">
    <i/>
  </colItems>
  <dataFields count="1"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9" firstHeaderRow="0" firstDataRow="1" firstDataCol="1"/>
  <pivotFields count="10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ighValueFlag" fld="7" baseField="0" baseItem="0"/>
    <dataField name="Sum of HighRiskCountryFlag " fld="8" baseField="0" baseItem="0"/>
    <dataField name="Sum of StructuringFlag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tabSelected="1" zoomScale="66" zoomScaleNormal="66" workbookViewId="0">
      <selection activeCell="Z35" sqref="Z35"/>
    </sheetView>
  </sheetViews>
  <sheetFormatPr defaultRowHeight="15" x14ac:dyDescent="0.25"/>
  <sheetData>
    <row r="1" spans="1:13" x14ac:dyDescent="0.2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13" t="s">
        <v>43</v>
      </c>
      <c r="B3" s="13"/>
      <c r="C3" s="13" t="s">
        <v>44</v>
      </c>
      <c r="D3" s="13"/>
      <c r="E3" s="13"/>
      <c r="F3" s="13" t="s">
        <v>45</v>
      </c>
      <c r="G3" s="13"/>
      <c r="H3" s="13" t="s">
        <v>46</v>
      </c>
      <c r="I3" s="13"/>
      <c r="J3" s="13"/>
      <c r="K3" s="13" t="s">
        <v>47</v>
      </c>
      <c r="L3" s="13"/>
      <c r="M3" s="7"/>
    </row>
    <row r="4" spans="1:13" x14ac:dyDescent="0.25">
      <c r="A4" s="7">
        <v>10</v>
      </c>
      <c r="B4" s="7"/>
      <c r="C4" s="13">
        <v>2</v>
      </c>
      <c r="D4" s="13"/>
      <c r="E4" s="13"/>
      <c r="F4" s="13">
        <v>3</v>
      </c>
      <c r="G4" s="13"/>
      <c r="H4" s="13">
        <v>3</v>
      </c>
      <c r="I4" s="13"/>
      <c r="J4" s="13"/>
      <c r="K4" s="13">
        <v>1</v>
      </c>
      <c r="L4" s="13"/>
      <c r="M4" s="7"/>
    </row>
    <row r="5" spans="1:13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25">
      <c r="A34" s="12" t="s">
        <v>50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40" spans="1:13" x14ac:dyDescent="0.25">
      <c r="I40" s="8"/>
    </row>
  </sheetData>
  <mergeCells count="12">
    <mergeCell ref="A1:M2"/>
    <mergeCell ref="A5:M33"/>
    <mergeCell ref="A34:M34"/>
    <mergeCell ref="A3:B3"/>
    <mergeCell ref="C3:E3"/>
    <mergeCell ref="F3:G3"/>
    <mergeCell ref="H3:J3"/>
    <mergeCell ref="K3:L3"/>
    <mergeCell ref="C4:E4"/>
    <mergeCell ref="F4:G4"/>
    <mergeCell ref="H4:J4"/>
    <mergeCell ref="K4:L4"/>
  </mergeCells>
  <pageMargins left="0.7" right="0.7" top="0.75" bottom="0.75" header="0.3" footer="0.3"/>
  <pageSetup paperSize="11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2" sqref="A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</v>
      </c>
      <c r="I1" t="s">
        <v>35</v>
      </c>
      <c r="J1" t="s">
        <v>36</v>
      </c>
    </row>
    <row r="2" spans="1:10" x14ac:dyDescent="0.25">
      <c r="A2" t="s">
        <v>7</v>
      </c>
      <c r="B2" s="1">
        <v>45662</v>
      </c>
      <c r="C2" t="s">
        <v>8</v>
      </c>
      <c r="D2" t="s">
        <v>9</v>
      </c>
      <c r="E2">
        <v>45000</v>
      </c>
      <c r="F2" t="s">
        <v>10</v>
      </c>
      <c r="G2" t="s">
        <v>11</v>
      </c>
      <c r="H2">
        <f>IF(E2&gt;=100000,1,0)</f>
        <v>0</v>
      </c>
      <c r="I2">
        <f>IF(G2="Yes",1,0)</f>
        <v>0</v>
      </c>
      <c r="J2">
        <f>IF(AND(E2&gt;=40000, E2&lt;=55000, COUNTIF($C:$C, C2)&gt;=3), 1, 0)</f>
        <v>1</v>
      </c>
    </row>
    <row r="3" spans="1:10" x14ac:dyDescent="0.25">
      <c r="A3" t="s">
        <v>12</v>
      </c>
      <c r="B3" s="1">
        <v>45662</v>
      </c>
      <c r="C3" t="s">
        <v>13</v>
      </c>
      <c r="D3" t="s">
        <v>14</v>
      </c>
      <c r="E3">
        <v>950000</v>
      </c>
      <c r="F3" t="s">
        <v>15</v>
      </c>
      <c r="G3" t="s">
        <v>16</v>
      </c>
      <c r="H3">
        <f t="shared" ref="H3:H10" si="0">IF(E3&gt;=100000,1,0)</f>
        <v>1</v>
      </c>
      <c r="I3">
        <f t="shared" ref="I3:I11" si="1">IF(G3="Yes",1,0)</f>
        <v>1</v>
      </c>
      <c r="J3">
        <f t="shared" ref="J3:J11" si="2">IF(AND(E3&gt;=40000, E3&lt;=55000, COUNTIF($C:$C, C3)&gt;=3), 1, 0)</f>
        <v>0</v>
      </c>
    </row>
    <row r="4" spans="1:10" x14ac:dyDescent="0.25">
      <c r="A4" t="s">
        <v>17</v>
      </c>
      <c r="B4" s="1">
        <v>45663</v>
      </c>
      <c r="C4" t="s">
        <v>8</v>
      </c>
      <c r="D4" t="s">
        <v>9</v>
      </c>
      <c r="E4">
        <v>48000</v>
      </c>
      <c r="F4" t="s">
        <v>10</v>
      </c>
      <c r="G4" t="s">
        <v>11</v>
      </c>
      <c r="H4">
        <f t="shared" si="0"/>
        <v>0</v>
      </c>
      <c r="I4">
        <f t="shared" si="1"/>
        <v>0</v>
      </c>
      <c r="J4">
        <f t="shared" si="2"/>
        <v>1</v>
      </c>
    </row>
    <row r="5" spans="1:10" x14ac:dyDescent="0.25">
      <c r="A5" t="s">
        <v>18</v>
      </c>
      <c r="B5" s="1">
        <v>45663</v>
      </c>
      <c r="C5" t="s">
        <v>19</v>
      </c>
      <c r="D5" t="s">
        <v>20</v>
      </c>
      <c r="E5">
        <v>150000</v>
      </c>
      <c r="F5" t="s">
        <v>21</v>
      </c>
      <c r="G5" t="s">
        <v>16</v>
      </c>
      <c r="H5">
        <f t="shared" si="0"/>
        <v>1</v>
      </c>
      <c r="I5">
        <f t="shared" si="1"/>
        <v>1</v>
      </c>
      <c r="J5">
        <f t="shared" si="2"/>
        <v>0</v>
      </c>
    </row>
    <row r="6" spans="1:10" x14ac:dyDescent="0.25">
      <c r="A6" t="s">
        <v>22</v>
      </c>
      <c r="B6" s="1">
        <v>45664</v>
      </c>
      <c r="C6" t="s">
        <v>23</v>
      </c>
      <c r="D6" t="s">
        <v>24</v>
      </c>
      <c r="E6">
        <v>7000</v>
      </c>
      <c r="F6" t="s">
        <v>25</v>
      </c>
      <c r="G6" t="s">
        <v>11</v>
      </c>
      <c r="H6">
        <f t="shared" si="0"/>
        <v>0</v>
      </c>
      <c r="I6">
        <f t="shared" si="1"/>
        <v>0</v>
      </c>
      <c r="J6">
        <f t="shared" si="2"/>
        <v>0</v>
      </c>
    </row>
    <row r="7" spans="1:10" x14ac:dyDescent="0.25">
      <c r="A7" t="s">
        <v>26</v>
      </c>
      <c r="B7" s="1">
        <v>45664</v>
      </c>
      <c r="C7" t="s">
        <v>19</v>
      </c>
      <c r="D7" t="s">
        <v>20</v>
      </c>
      <c r="E7">
        <v>160000</v>
      </c>
      <c r="F7" t="s">
        <v>21</v>
      </c>
      <c r="G7" t="s">
        <v>16</v>
      </c>
      <c r="H7">
        <f t="shared" si="0"/>
        <v>1</v>
      </c>
      <c r="I7">
        <f t="shared" si="1"/>
        <v>1</v>
      </c>
      <c r="J7">
        <f t="shared" si="2"/>
        <v>0</v>
      </c>
    </row>
    <row r="8" spans="1:10" x14ac:dyDescent="0.25">
      <c r="A8" t="s">
        <v>27</v>
      </c>
      <c r="B8" s="1">
        <v>45665</v>
      </c>
      <c r="C8" t="s">
        <v>8</v>
      </c>
      <c r="D8" t="s">
        <v>9</v>
      </c>
      <c r="E8">
        <v>49000</v>
      </c>
      <c r="F8" t="s">
        <v>10</v>
      </c>
      <c r="G8" t="s">
        <v>11</v>
      </c>
      <c r="H8">
        <f t="shared" si="0"/>
        <v>0</v>
      </c>
      <c r="I8">
        <f t="shared" si="1"/>
        <v>0</v>
      </c>
      <c r="J8">
        <f t="shared" si="2"/>
        <v>1</v>
      </c>
    </row>
    <row r="9" spans="1:10" x14ac:dyDescent="0.25">
      <c r="A9" t="s">
        <v>28</v>
      </c>
      <c r="B9" s="1">
        <v>45666</v>
      </c>
      <c r="C9" t="s">
        <v>13</v>
      </c>
      <c r="D9" t="s">
        <v>14</v>
      </c>
      <c r="E9">
        <v>980000</v>
      </c>
      <c r="F9" t="s">
        <v>15</v>
      </c>
      <c r="G9" t="s">
        <v>16</v>
      </c>
      <c r="H9">
        <f t="shared" si="0"/>
        <v>1</v>
      </c>
      <c r="I9">
        <f t="shared" si="1"/>
        <v>1</v>
      </c>
      <c r="J9">
        <f t="shared" si="2"/>
        <v>0</v>
      </c>
    </row>
    <row r="10" spans="1:10" x14ac:dyDescent="0.25">
      <c r="A10" t="s">
        <v>29</v>
      </c>
      <c r="B10" s="1">
        <v>45667</v>
      </c>
      <c r="C10" t="s">
        <v>30</v>
      </c>
      <c r="D10" t="s">
        <v>31</v>
      </c>
      <c r="E10">
        <v>55000</v>
      </c>
      <c r="F10" t="s">
        <v>32</v>
      </c>
      <c r="G10" t="s">
        <v>11</v>
      </c>
      <c r="H10">
        <f t="shared" si="0"/>
        <v>0</v>
      </c>
      <c r="I10">
        <f t="shared" si="1"/>
        <v>0</v>
      </c>
      <c r="J10">
        <f t="shared" si="2"/>
        <v>0</v>
      </c>
    </row>
    <row r="11" spans="1:10" x14ac:dyDescent="0.25">
      <c r="A11" t="s">
        <v>33</v>
      </c>
      <c r="B11" s="1">
        <v>45667</v>
      </c>
      <c r="C11" t="s">
        <v>8</v>
      </c>
      <c r="D11" t="s">
        <v>9</v>
      </c>
      <c r="E11">
        <v>51000</v>
      </c>
      <c r="F11" t="s">
        <v>10</v>
      </c>
      <c r="G11" t="s">
        <v>11</v>
      </c>
      <c r="H11">
        <f>IF(E11&gt;=100000,1,0)</f>
        <v>0</v>
      </c>
      <c r="I11">
        <f t="shared" si="1"/>
        <v>0</v>
      </c>
      <c r="J11">
        <f t="shared" si="2"/>
        <v>1</v>
      </c>
    </row>
  </sheetData>
  <conditionalFormatting sqref="A1:K1">
    <cfRule type="expression" priority="5">
      <formula>$K2=1</formula>
    </cfRule>
  </conditionalFormatting>
  <conditionalFormatting sqref="A2:J11">
    <cfRule type="expression" dxfId="0" priority="1">
      <formula>OR($H2=1,$I2=1,$J2=1)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3"/>
  <sheetViews>
    <sheetView topLeftCell="A16" workbookViewId="0">
      <selection activeCell="A30" sqref="A30"/>
    </sheetView>
  </sheetViews>
  <sheetFormatPr defaultRowHeight="15" x14ac:dyDescent="0.25"/>
  <cols>
    <col min="1" max="1" width="13.140625" bestFit="1" customWidth="1"/>
    <col min="2" max="2" width="24" customWidth="1"/>
    <col min="3" max="3" width="26.7109375" bestFit="1" customWidth="1"/>
    <col min="4" max="4" width="21.140625" bestFit="1" customWidth="1"/>
  </cols>
  <sheetData>
    <row r="3" spans="1:4" x14ac:dyDescent="0.25">
      <c r="A3" s="2" t="s">
        <v>37</v>
      </c>
      <c r="B3" t="s">
        <v>39</v>
      </c>
      <c r="C3" t="s">
        <v>40</v>
      </c>
      <c r="D3" t="s">
        <v>41</v>
      </c>
    </row>
    <row r="4" spans="1:4" x14ac:dyDescent="0.25">
      <c r="A4" s="3" t="s">
        <v>8</v>
      </c>
      <c r="B4" s="4">
        <v>0</v>
      </c>
      <c r="C4" s="4">
        <v>0</v>
      </c>
      <c r="D4" s="4">
        <v>4</v>
      </c>
    </row>
    <row r="5" spans="1:4" x14ac:dyDescent="0.25">
      <c r="A5" s="3" t="s">
        <v>13</v>
      </c>
      <c r="B5" s="4">
        <v>2</v>
      </c>
      <c r="C5" s="4">
        <v>2</v>
      </c>
      <c r="D5" s="4">
        <v>0</v>
      </c>
    </row>
    <row r="6" spans="1:4" x14ac:dyDescent="0.25">
      <c r="A6" s="3" t="s">
        <v>19</v>
      </c>
      <c r="B6" s="4">
        <v>2</v>
      </c>
      <c r="C6" s="4">
        <v>2</v>
      </c>
      <c r="D6" s="4">
        <v>0</v>
      </c>
    </row>
    <row r="7" spans="1:4" x14ac:dyDescent="0.25">
      <c r="A7" s="3" t="s">
        <v>23</v>
      </c>
      <c r="B7" s="4">
        <v>0</v>
      </c>
      <c r="C7" s="4">
        <v>0</v>
      </c>
      <c r="D7" s="4">
        <v>0</v>
      </c>
    </row>
    <row r="8" spans="1:4" x14ac:dyDescent="0.25">
      <c r="A8" s="3" t="s">
        <v>30</v>
      </c>
      <c r="B8" s="4">
        <v>0</v>
      </c>
      <c r="C8" s="4">
        <v>0</v>
      </c>
      <c r="D8" s="4">
        <v>0</v>
      </c>
    </row>
    <row r="9" spans="1:4" x14ac:dyDescent="0.25">
      <c r="A9" s="3" t="s">
        <v>38</v>
      </c>
      <c r="B9" s="4">
        <v>4</v>
      </c>
      <c r="C9" s="4">
        <v>4</v>
      </c>
      <c r="D9" s="4">
        <v>4</v>
      </c>
    </row>
    <row r="13" spans="1:4" x14ac:dyDescent="0.25">
      <c r="A13" s="2" t="s">
        <v>37</v>
      </c>
      <c r="B13" t="s">
        <v>42</v>
      </c>
    </row>
    <row r="14" spans="1:4" x14ac:dyDescent="0.25">
      <c r="A14" s="3" t="s">
        <v>7</v>
      </c>
      <c r="B14" s="4">
        <v>45000</v>
      </c>
    </row>
    <row r="15" spans="1:4" x14ac:dyDescent="0.25">
      <c r="A15" s="5">
        <v>45662</v>
      </c>
      <c r="B15" s="4">
        <v>45000</v>
      </c>
    </row>
    <row r="16" spans="1:4" x14ac:dyDescent="0.25">
      <c r="A16" s="6" t="s">
        <v>8</v>
      </c>
      <c r="B16" s="4">
        <v>45000</v>
      </c>
    </row>
    <row r="17" spans="1:2" x14ac:dyDescent="0.25">
      <c r="A17" s="3" t="s">
        <v>17</v>
      </c>
      <c r="B17" s="4">
        <v>48000</v>
      </c>
    </row>
    <row r="18" spans="1:2" x14ac:dyDescent="0.25">
      <c r="A18" s="5">
        <v>45663</v>
      </c>
      <c r="B18" s="4">
        <v>48000</v>
      </c>
    </row>
    <row r="19" spans="1:2" x14ac:dyDescent="0.25">
      <c r="A19" s="6" t="s">
        <v>8</v>
      </c>
      <c r="B19" s="4">
        <v>48000</v>
      </c>
    </row>
    <row r="20" spans="1:2" x14ac:dyDescent="0.25">
      <c r="A20" s="3" t="s">
        <v>27</v>
      </c>
      <c r="B20" s="4">
        <v>49000</v>
      </c>
    </row>
    <row r="21" spans="1:2" x14ac:dyDescent="0.25">
      <c r="A21" s="5">
        <v>45665</v>
      </c>
      <c r="B21" s="4">
        <v>49000</v>
      </c>
    </row>
    <row r="22" spans="1:2" x14ac:dyDescent="0.25">
      <c r="A22" s="6" t="s">
        <v>8</v>
      </c>
      <c r="B22" s="4">
        <v>49000</v>
      </c>
    </row>
    <row r="23" spans="1:2" x14ac:dyDescent="0.25">
      <c r="A23" s="3" t="s">
        <v>33</v>
      </c>
      <c r="B23" s="4">
        <v>51000</v>
      </c>
    </row>
    <row r="24" spans="1:2" x14ac:dyDescent="0.25">
      <c r="A24" s="5">
        <v>45667</v>
      </c>
      <c r="B24" s="4">
        <v>51000</v>
      </c>
    </row>
    <row r="25" spans="1:2" x14ac:dyDescent="0.25">
      <c r="A25" s="6" t="s">
        <v>8</v>
      </c>
      <c r="B25" s="4">
        <v>51000</v>
      </c>
    </row>
    <row r="26" spans="1:2" x14ac:dyDescent="0.25">
      <c r="A26" s="3" t="s">
        <v>38</v>
      </c>
      <c r="B26" s="4">
        <v>193000</v>
      </c>
    </row>
    <row r="29" spans="1:2" x14ac:dyDescent="0.25">
      <c r="A29" s="2" t="s">
        <v>37</v>
      </c>
      <c r="B29" t="s">
        <v>48</v>
      </c>
    </row>
    <row r="30" spans="1:2" x14ac:dyDescent="0.25">
      <c r="A30" s="3" t="s">
        <v>9</v>
      </c>
      <c r="B30" s="4">
        <v>4</v>
      </c>
    </row>
    <row r="31" spans="1:2" x14ac:dyDescent="0.25">
      <c r="A31" s="3" t="s">
        <v>20</v>
      </c>
      <c r="B31" s="4">
        <v>2</v>
      </c>
    </row>
    <row r="32" spans="1:2" x14ac:dyDescent="0.25">
      <c r="A32" s="3" t="s">
        <v>14</v>
      </c>
      <c r="B32" s="4">
        <v>2</v>
      </c>
    </row>
    <row r="33" spans="1:2" x14ac:dyDescent="0.25">
      <c r="A33" s="3" t="s">
        <v>38</v>
      </c>
      <c r="B33" s="4">
        <v>8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AML_Dashboard</vt:lpstr>
      <vt:lpstr>AML_Data</vt:lpstr>
      <vt:lpstr>AML_Pivot</vt:lpstr>
      <vt:lpstr>AML_Dashboard!Print_Area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OriGin</dc:creator>
  <cp:lastModifiedBy>OriGin</cp:lastModifiedBy>
  <cp:lastPrinted>2025-12-06T14:29:58Z</cp:lastPrinted>
  <dcterms:created xsi:type="dcterms:W3CDTF">2025-12-06T09:33:37Z</dcterms:created>
  <dcterms:modified xsi:type="dcterms:W3CDTF">2025-12-06T14:35:57Z</dcterms:modified>
</cp:coreProperties>
</file>